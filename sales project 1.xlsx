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ata Analyst Project\"/>
    </mc:Choice>
  </mc:AlternateContent>
  <bookViews>
    <workbookView xWindow="0" yWindow="0" windowWidth="23040" windowHeight="9072" activeTab="1"/>
  </bookViews>
  <sheets>
    <sheet name="Sheet3" sheetId="3" r:id="rId1"/>
    <sheet name="Sheet4" sheetId="4" r:id="rId2"/>
    <sheet name="Man and Woman" sheetId="5" r:id="rId3"/>
    <sheet name="Order Status" sheetId="7" r:id="rId4"/>
    <sheet name="Sheet9" sheetId="9" r:id="rId5"/>
    <sheet name="Age Group" sheetId="12" r:id="rId6"/>
    <sheet name="Sheet7" sheetId="14" r:id="rId7"/>
    <sheet name="Sheet1" sheetId="1" r:id="rId8"/>
  </sheets>
  <definedNames>
    <definedName name="Slicer_Category">#N/A</definedName>
    <definedName name="Slicer_Channel">#N/A</definedName>
    <definedName name="Slicer_Month">#N/A</definedName>
  </definedNames>
  <calcPr calcId="162913"/>
  <pivotCaches>
    <pivotCache cacheId="14" r:id="rId9"/>
    <pivotCache cacheId="7" r:id="rId10"/>
    <pivotCache cacheId="1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<sst xmlns="http://schemas.openxmlformats.org/spreadsheetml/2006/main" count="795" uniqueCount="203">
  <si>
    <t>Index</t>
  </si>
  <si>
    <t>Order ID</t>
  </si>
  <si>
    <t>Customer ID</t>
  </si>
  <si>
    <t>Gender</t>
  </si>
  <si>
    <t>Age</t>
  </si>
  <si>
    <t>Date</t>
  </si>
  <si>
    <t>Status</t>
  </si>
  <si>
    <t>Channel</t>
  </si>
  <si>
    <t>SKU</t>
  </si>
  <si>
    <t>Category</t>
  </si>
  <si>
    <t>Size</t>
  </si>
  <si>
    <t>Qty</t>
  </si>
  <si>
    <t>Currency</t>
  </si>
  <si>
    <t>Amount</t>
  </si>
  <si>
    <t>Ship City</t>
  </si>
  <si>
    <t>171-1029312-3038738</t>
  </si>
  <si>
    <t>Women</t>
  </si>
  <si>
    <t>Delivered</t>
  </si>
  <si>
    <t>Myntra</t>
  </si>
  <si>
    <t>JNE1233-BLUE-KR-031-XXL</t>
  </si>
  <si>
    <t>Kurta</t>
  </si>
  <si>
    <t>XXL</t>
  </si>
  <si>
    <t>INR</t>
  </si>
  <si>
    <t>MOHALI</t>
  </si>
  <si>
    <t>405-2183842-2225946</t>
  </si>
  <si>
    <t>Ajio</t>
  </si>
  <si>
    <t>SET414-KR-NP-L</t>
  </si>
  <si>
    <t>Set</t>
  </si>
  <si>
    <t>L</t>
  </si>
  <si>
    <t>GURUGRAM</t>
  </si>
  <si>
    <t>171-1641533-8921966</t>
  </si>
  <si>
    <t>SET261-KR-PP-S</t>
  </si>
  <si>
    <t>S</t>
  </si>
  <si>
    <t>KOLKATA</t>
  </si>
  <si>
    <t>404-7490807-6300351</t>
  </si>
  <si>
    <t>Amazon</t>
  </si>
  <si>
    <t>SET110-KR-PP-M</t>
  </si>
  <si>
    <t>M</t>
  </si>
  <si>
    <t>THANJAVUR</t>
  </si>
  <si>
    <t>403-9293516-4577154</t>
  </si>
  <si>
    <t>JNE2294-KR-A-XXL</t>
  </si>
  <si>
    <t>407-1298130-0368305</t>
  </si>
  <si>
    <t>Men</t>
  </si>
  <si>
    <t>Flipkart</t>
  </si>
  <si>
    <t>JNE3797-KR-XXL</t>
  </si>
  <si>
    <t>Western Dress</t>
  </si>
  <si>
    <t>KUPWARA</t>
  </si>
  <si>
    <t>Meesho</t>
  </si>
  <si>
    <t>JNE3801-KR-XXL</t>
  </si>
  <si>
    <t>BENGALURU</t>
  </si>
  <si>
    <t>171-5561216-3398711</t>
  </si>
  <si>
    <t>Others</t>
  </si>
  <si>
    <t>JNE3405-KR-M</t>
  </si>
  <si>
    <t>408-2935263-2935550</t>
  </si>
  <si>
    <t>JNE3474-KR-E-XL</t>
  </si>
  <si>
    <t>XL</t>
  </si>
  <si>
    <t>404-2648970-9042715</t>
  </si>
  <si>
    <t>JNE3465-KR-L</t>
  </si>
  <si>
    <t>VIJAYAWADA</t>
  </si>
  <si>
    <t>JNE3795-KR-S</t>
  </si>
  <si>
    <t>VISAKHAPATNAM</t>
  </si>
  <si>
    <t>J0181-TP-M</t>
  </si>
  <si>
    <t>Top</t>
  </si>
  <si>
    <t>HYDERABAD</t>
  </si>
  <si>
    <t>406-0265357-4939534</t>
  </si>
  <si>
    <t>SET217-KR-PP-XL</t>
  </si>
  <si>
    <t>DELHI</t>
  </si>
  <si>
    <t>403-9268874-7296313</t>
  </si>
  <si>
    <t>SET185-KR-NP-M</t>
  </si>
  <si>
    <t>MUMBAI</t>
  </si>
  <si>
    <t>407-0442660-2736366</t>
  </si>
  <si>
    <t>SET333-KR-DPT-M</t>
  </si>
  <si>
    <t>PUNE</t>
  </si>
  <si>
    <t>406-7482261-1657136</t>
  </si>
  <si>
    <t>Nykaa</t>
  </si>
  <si>
    <t>J0124-TP-L</t>
  </si>
  <si>
    <t>JAIPUR</t>
  </si>
  <si>
    <t>407-7039962-7080347</t>
  </si>
  <si>
    <t>SET304-KR-OPT-XL</t>
  </si>
  <si>
    <t>AHMEDABAD</t>
  </si>
  <si>
    <t>407-3422488-7373923</t>
  </si>
  <si>
    <t>SET184-KR-PP-XS</t>
  </si>
  <si>
    <t>XS</t>
  </si>
  <si>
    <t>LUCKNOW</t>
  </si>
  <si>
    <t>171-8974687-6745930</t>
  </si>
  <si>
    <t>J0161-DR-XXL</t>
  </si>
  <si>
    <t>CHANDIGARH</t>
  </si>
  <si>
    <t>406-0244536-2177175</t>
  </si>
  <si>
    <t>SET233-KR-PP-M</t>
  </si>
  <si>
    <t>NAGPUR</t>
  </si>
  <si>
    <t>404-4376789-3345166</t>
  </si>
  <si>
    <t>Nalli</t>
  </si>
  <si>
    <t>J0231-SKD-XXXL</t>
  </si>
  <si>
    <t>3XL</t>
  </si>
  <si>
    <t>INDORE</t>
  </si>
  <si>
    <t>404-1943310-9789160</t>
  </si>
  <si>
    <t>Refunded</t>
  </si>
  <si>
    <t>J0339-DR-XXL</t>
  </si>
  <si>
    <t>BHOPAL</t>
  </si>
  <si>
    <t>403-9505905-5051559</t>
  </si>
  <si>
    <t>SET210-KR-PP-XXXL</t>
  </si>
  <si>
    <t>SURAT</t>
  </si>
  <si>
    <t>Sum of Amount</t>
  </si>
  <si>
    <t>Count of Order ID</t>
  </si>
  <si>
    <t>Row Labels</t>
  </si>
  <si>
    <t>Grand Total</t>
  </si>
  <si>
    <t>405-6789123-4567890</t>
  </si>
  <si>
    <t>SKU2345</t>
  </si>
  <si>
    <t>406-7891234-5678901</t>
  </si>
  <si>
    <t>Cancelled</t>
  </si>
  <si>
    <t>SKU3456</t>
  </si>
  <si>
    <t>407-8912345-6789012</t>
  </si>
  <si>
    <t>SKU4567</t>
  </si>
  <si>
    <t>408-9123456-7890123</t>
  </si>
  <si>
    <t>SKU5678</t>
  </si>
  <si>
    <t>409-1234567-8901234</t>
  </si>
  <si>
    <t>SKU6789</t>
  </si>
  <si>
    <t>410-2345678-9012345</t>
  </si>
  <si>
    <t>SKU7890</t>
  </si>
  <si>
    <t>411-3456789-0123456</t>
  </si>
  <si>
    <t>SKU8901</t>
  </si>
  <si>
    <t>412-4567890-1234567</t>
  </si>
  <si>
    <t>SKU9012</t>
  </si>
  <si>
    <t>413-5678901-2345678</t>
  </si>
  <si>
    <t>SKU1122</t>
  </si>
  <si>
    <t>414-6789012-3456789</t>
  </si>
  <si>
    <t>SKU2233</t>
  </si>
  <si>
    <t>415-7890123-4567891</t>
  </si>
  <si>
    <t>SKU3344</t>
  </si>
  <si>
    <t>416-8901234-5678912</t>
  </si>
  <si>
    <t>SKU4455</t>
  </si>
  <si>
    <t>417-9012345-6789123</t>
  </si>
  <si>
    <t>SKU5566</t>
  </si>
  <si>
    <t>418-0123456-7891234</t>
  </si>
  <si>
    <t>SKU6677</t>
  </si>
  <si>
    <t>419-1234567-8902345</t>
  </si>
  <si>
    <t>SKU7788</t>
  </si>
  <si>
    <t>420-2345678-9013456</t>
  </si>
  <si>
    <t>SKU8899</t>
  </si>
  <si>
    <t>421-3456789-0124567</t>
  </si>
  <si>
    <t>SKU9900</t>
  </si>
  <si>
    <t>422-4567890-1235678</t>
  </si>
  <si>
    <t>SKU1021</t>
  </si>
  <si>
    <t>423-5678901-2346789</t>
  </si>
  <si>
    <t>SKU1132</t>
  </si>
  <si>
    <t>424-6789012-3457890</t>
  </si>
  <si>
    <t>SKU1243</t>
  </si>
  <si>
    <t>425-7890123-4568901</t>
  </si>
  <si>
    <t>SKU1354</t>
  </si>
  <si>
    <t>426-8901234-5679012</t>
  </si>
  <si>
    <t>SKU1465</t>
  </si>
  <si>
    <t>427-9012345-6780123</t>
  </si>
  <si>
    <t>SKU1576</t>
  </si>
  <si>
    <t>428-0123456-7891235</t>
  </si>
  <si>
    <t>SKU1687</t>
  </si>
  <si>
    <t>429-1234567-8902346</t>
  </si>
  <si>
    <t>SKU1798</t>
  </si>
  <si>
    <t>430-2345678-9013457</t>
  </si>
  <si>
    <t>SKU1809</t>
  </si>
  <si>
    <t>431-3456789-0124568</t>
  </si>
  <si>
    <t>SKU1910</t>
  </si>
  <si>
    <t>432-4567890-1235679</t>
  </si>
  <si>
    <t>SKU2021</t>
  </si>
  <si>
    <t>433-5678901-2346780</t>
  </si>
  <si>
    <t>SKU2132</t>
  </si>
  <si>
    <t>434-6789012-3457891</t>
  </si>
  <si>
    <t>SKU2243</t>
  </si>
  <si>
    <t>435-7890123-4568902</t>
  </si>
  <si>
    <t>SKU2354</t>
  </si>
  <si>
    <t>436-8901234-5679013</t>
  </si>
  <si>
    <t>SKU2465</t>
  </si>
  <si>
    <t>437-9012345-6780124</t>
  </si>
  <si>
    <t>SKU2576</t>
  </si>
  <si>
    <t>438-0123456-7891236</t>
  </si>
  <si>
    <t>SKU2687</t>
  </si>
  <si>
    <t>439-1234567-8902347</t>
  </si>
  <si>
    <t>SKU2798</t>
  </si>
  <si>
    <t>440-2345678-9013458</t>
  </si>
  <si>
    <t>SKU2809</t>
  </si>
  <si>
    <t>441-3456789-0124569</t>
  </si>
  <si>
    <t>SKU2910</t>
  </si>
  <si>
    <t>December</t>
  </si>
  <si>
    <t>Month</t>
  </si>
  <si>
    <t>anuary</t>
  </si>
  <si>
    <t>February</t>
  </si>
  <si>
    <t>March</t>
  </si>
  <si>
    <t>April</t>
  </si>
  <si>
    <t>May</t>
  </si>
  <si>
    <t>June</t>
  </si>
  <si>
    <t>July</t>
  </si>
  <si>
    <t>August</t>
  </si>
  <si>
    <t>September</t>
  </si>
  <si>
    <t>October</t>
  </si>
  <si>
    <t>November</t>
  </si>
  <si>
    <t>January</t>
  </si>
  <si>
    <t>(blank)</t>
  </si>
  <si>
    <t>ANNUAL REPORT 2023</t>
  </si>
  <si>
    <t>Column Labels</t>
  </si>
  <si>
    <t>Teenager</t>
  </si>
  <si>
    <t>Adult</t>
  </si>
  <si>
    <t>Senior</t>
  </si>
  <si>
    <t>Age Group</t>
  </si>
  <si>
    <t xml:space="preserv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</si>
</sst>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2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p>
        </c:rich>
      </c:tx>
      <c:layout>
        <c:manualLayout>
          <c:xMode val="edge"/>
          <c:yMode val="edge"/>
          <c:x val="0.10393744531933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9.1914260717410323E-2"/>
          <c:y val="0.15883007879410757"/>
          <c:w val="0.86806036745406823"/>
          <c:h val="0.61595020946122747"/>
        </c:manualLayout>
      </c:layout>
      <c:barChart>
        <c:barDir val="col"/>
        <c:grouping val="clustered"/>
        <c:varyColors val="0"/>
        <c:ser>
          <c:idx val="0"/>
          <c:order val="0"/>
          <c:tx>
            <c:strRef>
              <c:f>Sheet3!$B$3</c:f>
              <c:strCache>
                <c:ptCount val="1"/>
                <c:pt idx="0">
                  <c:v>Sum of Amount</c:v>
                </c:pt>
              </c:strCache>
            </c:strRef>
          </c:tx>
          <c:spPr>
            <a:solidFill>
              <a:schemeClr val="accent1"/>
            </a:solidFill>
            <a:ln>
              <a:noFill/>
            </a:ln>
            <a:effectLst/>
          </c:spPr>
          <c:invertIfNegative val="0"/>
          <c:cat>
            <c:strRef>
              <c:f>Sheet3!$A$4:$A$15</c:f>
              <c:strCache>
                <c:ptCount val="11"/>
                <c:pt idx="0">
                  <c:v>February</c:v>
                </c:pt>
                <c:pt idx="1">
                  <c:v>April</c:v>
                </c:pt>
                <c:pt idx="2">
                  <c:v>May</c:v>
                </c:pt>
                <c:pt idx="3">
                  <c:v>July</c:v>
                </c:pt>
                <c:pt idx="4">
                  <c:v>August</c:v>
                </c:pt>
                <c:pt idx="5">
                  <c:v>September</c:v>
                </c:pt>
                <c:pt idx="6">
                  <c:v>October</c:v>
                </c:pt>
                <c:pt idx="7">
                  <c:v>November</c:v>
                </c:pt>
                <c:pt idx="8">
                  <c:v>December</c:v>
                </c:pt>
                <c:pt idx="9">
                  <c:v>anuary</c:v>
                </c:pt>
                <c:pt idx="10">
                  <c:v>(blank)</c:v>
                </c:pt>
              </c:strCache>
            </c:strRef>
          </c:cat>
          <c:val>
            <c:numRef>
              <c:f>Sheet3!$B$4:$B$15</c:f>
              <c:numCache>
                <c:formatCode>General</c:formatCode>
                <c:ptCount val="11"/>
                <c:pt idx="0">
                  <c:v>1398</c:v>
                </c:pt>
                <c:pt idx="1">
                  <c:v>749</c:v>
                </c:pt>
                <c:pt idx="2">
                  <c:v>1992</c:v>
                </c:pt>
                <c:pt idx="3">
                  <c:v>1434</c:v>
                </c:pt>
                <c:pt idx="4">
                  <c:v>1134</c:v>
                </c:pt>
                <c:pt idx="5">
                  <c:v>385</c:v>
                </c:pt>
                <c:pt idx="6">
                  <c:v>948</c:v>
                </c:pt>
                <c:pt idx="7">
                  <c:v>1048</c:v>
                </c:pt>
                <c:pt idx="8">
                  <c:v>1298</c:v>
                </c:pt>
                <c:pt idx="9">
                  <c:v>376</c:v>
                </c:pt>
                <c:pt idx="10">
                  <c:v>899</c:v>
                </c:pt>
              </c:numCache>
            </c:numRef>
          </c:val>
          <c:extLst>
            <c:ext xmlns:c16="http://schemas.microsoft.com/office/drawing/2014/chart" uri="{C3380CC4-5D6E-409C-BE32-E72D297353CC}">
              <c16:uniqueId val="{00000000-46B2-4437-9C74-BD9895E4DE20}"/>
            </c:ext>
          </c:extLst>
        </c:ser>
        <c:dLbls>
          <c:showLegendKey val="0"/>
          <c:showVal val="0"/>
          <c:showCatName val="0"/>
          <c:showSerName val="0"/>
          <c:showPercent val="0"/>
          <c:showBubbleSize val="0"/>
        </c:dLbls>
        <c:gapWidth val="219"/>
        <c:overlap val="-27"/>
        <c:axId val="826379135"/>
        <c:axId val="826380799"/>
      </c:barChart>
      <c:lineChart>
        <c:grouping val="standard"/>
        <c:varyColors val="0"/>
        <c:ser>
          <c:idx val="1"/>
          <c:order val="1"/>
          <c:tx>
            <c:strRef>
              <c:f>Sheet3!$C$3</c:f>
              <c:strCache>
                <c:ptCount val="1"/>
                <c:pt idx="0">
                  <c:v>Count of Order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Sheet3!$A$4:$A$15</c:f>
              <c:strCache>
                <c:ptCount val="11"/>
                <c:pt idx="0">
                  <c:v>February</c:v>
                </c:pt>
                <c:pt idx="1">
                  <c:v>April</c:v>
                </c:pt>
                <c:pt idx="2">
                  <c:v>May</c:v>
                </c:pt>
                <c:pt idx="3">
                  <c:v>July</c:v>
                </c:pt>
                <c:pt idx="4">
                  <c:v>August</c:v>
                </c:pt>
                <c:pt idx="5">
                  <c:v>September</c:v>
                </c:pt>
                <c:pt idx="6">
                  <c:v>October</c:v>
                </c:pt>
                <c:pt idx="7">
                  <c:v>November</c:v>
                </c:pt>
                <c:pt idx="8">
                  <c:v>December</c:v>
                </c:pt>
                <c:pt idx="9">
                  <c:v>anuary</c:v>
                </c:pt>
                <c:pt idx="10">
                  <c:v>(blank)</c:v>
                </c:pt>
              </c:strCache>
            </c:strRef>
          </c:cat>
          <c:val>
            <c:numRef>
              <c:f>Sheet3!$C$4:$C$15</c:f>
              <c:numCache>
                <c:formatCode>General</c:formatCode>
                <c:ptCount val="11"/>
                <c:pt idx="0">
                  <c:v>2</c:v>
                </c:pt>
                <c:pt idx="1">
                  <c:v>1</c:v>
                </c:pt>
                <c:pt idx="2">
                  <c:v>3</c:v>
                </c:pt>
                <c:pt idx="3">
                  <c:v>2</c:v>
                </c:pt>
                <c:pt idx="4">
                  <c:v>2</c:v>
                </c:pt>
                <c:pt idx="5">
                  <c:v>1</c:v>
                </c:pt>
                <c:pt idx="6">
                  <c:v>2</c:v>
                </c:pt>
                <c:pt idx="7">
                  <c:v>2</c:v>
                </c:pt>
                <c:pt idx="8">
                  <c:v>2</c:v>
                </c:pt>
                <c:pt idx="9">
                  <c:v>1</c:v>
                </c:pt>
                <c:pt idx="10">
                  <c:v>1</c:v>
                </c:pt>
              </c:numCache>
            </c:numRef>
          </c:val>
          <c:smooth val="0"/>
          <c:extLst>
            <c:ext xmlns:c16="http://schemas.microsoft.com/office/drawing/2014/chart" uri="{C3380CC4-5D6E-409C-BE32-E72D297353CC}">
              <c16:uniqueId val="{00000001-46B2-4437-9C74-BD9895E4DE20}"/>
            </c:ext>
          </c:extLst>
        </c:ser>
        <c:dLbls>
          <c:showLegendKey val="0"/>
          <c:showVal val="0"/>
          <c:showCatName val="0"/>
          <c:showSerName val="0"/>
          <c:showPercent val="0"/>
          <c:showBubbleSize val="0"/>
        </c:dLbls>
        <c:marker val="1"/>
        <c:smooth val="0"/>
        <c:axId val="826379551"/>
        <c:axId val="826377055"/>
      </c:lineChart>
      <c:catAx>
        <c:axId val="82637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80799"/>
        <c:crosses val="autoZero"/>
        <c:auto val="1"/>
        <c:lblAlgn val="ctr"/>
        <c:lblOffset val="100"/>
        <c:noMultiLvlLbl val="0"/>
      </c:catAx>
      <c:valAx>
        <c:axId val="8263807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79135"/>
        <c:crosses val="autoZero"/>
        <c:crossBetween val="between"/>
      </c:valAx>
      <c:valAx>
        <c:axId val="8263770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79551"/>
        <c:crosses val="max"/>
        <c:crossBetween val="between"/>
      </c:valAx>
      <c:catAx>
        <c:axId val="826379551"/>
        <c:scaling>
          <c:orientation val="minMax"/>
        </c:scaling>
        <c:delete val="1"/>
        <c:axPos val="b"/>
        <c:numFmt formatCode="General" sourceLinked="1"/>
        <c:majorTickMark val="out"/>
        <c:minorTickMark val="none"/>
        <c:tickLblPos val="nextTo"/>
        <c:crossAx val="826377055"/>
        <c:crosses val="autoZero"/>
        <c:auto val="1"/>
        <c:lblAlgn val="ctr"/>
        <c:lblOffset val="100"/>
        <c:noMultiLvlLbl val="0"/>
      </c:catAx>
      <c:spPr>
        <a:noFill/>
        <a:ln>
          <a:noFill/>
        </a:ln>
        <a:effectLst/>
      </c:spPr>
    </c:plotArea>
    <c:legend>
      <c:legendPos val="r"/>
      <c:layout>
        <c:manualLayout>
          <c:xMode val="edge"/>
          <c:yMode val="edge"/>
          <c:x val="0.69480468066491696"/>
          <c:y val="1.9304826480023327E-2"/>
          <c:w val="0.26352865266841646"/>
          <c:h val="0.14452824691877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VS Sales</a:t>
            </a:r>
          </a:p>
        </c:rich>
      </c:tx>
      <c:layout>
        <c:manualLayout>
          <c:xMode val="edge"/>
          <c:yMode val="edge"/>
          <c:x val="0.10393744531933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3.723857198845619E-2"/>
          <c:y val="0.1973706748886605"/>
          <c:w val="0.86806036745406823"/>
          <c:h val="0.61595020946122747"/>
        </c:manualLayout>
      </c:layout>
      <c:barChart>
        <c:barDir val="col"/>
        <c:grouping val="clustered"/>
        <c:varyColors val="0"/>
        <c:ser>
          <c:idx val="0"/>
          <c:order val="0"/>
          <c:tx>
            <c:strRef>
              <c:f>Sheet3!$B$3</c:f>
              <c:strCache>
                <c:ptCount val="1"/>
                <c:pt idx="0">
                  <c:v>Sum of Amount</c:v>
                </c:pt>
              </c:strCache>
            </c:strRef>
          </c:tx>
          <c:spPr>
            <a:solidFill>
              <a:schemeClr val="accent1"/>
            </a:solidFill>
            <a:ln>
              <a:noFill/>
            </a:ln>
            <a:effectLst/>
          </c:spPr>
          <c:invertIfNegative val="0"/>
          <c:cat>
            <c:strRef>
              <c:f>Sheet3!$A$4:$A$15</c:f>
              <c:strCache>
                <c:ptCount val="11"/>
                <c:pt idx="0">
                  <c:v>February</c:v>
                </c:pt>
                <c:pt idx="1">
                  <c:v>April</c:v>
                </c:pt>
                <c:pt idx="2">
                  <c:v>May</c:v>
                </c:pt>
                <c:pt idx="3">
                  <c:v>July</c:v>
                </c:pt>
                <c:pt idx="4">
                  <c:v>August</c:v>
                </c:pt>
                <c:pt idx="5">
                  <c:v>September</c:v>
                </c:pt>
                <c:pt idx="6">
                  <c:v>October</c:v>
                </c:pt>
                <c:pt idx="7">
                  <c:v>November</c:v>
                </c:pt>
                <c:pt idx="8">
                  <c:v>December</c:v>
                </c:pt>
                <c:pt idx="9">
                  <c:v>anuary</c:v>
                </c:pt>
                <c:pt idx="10">
                  <c:v>(blank)</c:v>
                </c:pt>
              </c:strCache>
            </c:strRef>
          </c:cat>
          <c:val>
            <c:numRef>
              <c:f>Sheet3!$B$4:$B$15</c:f>
              <c:numCache>
                <c:formatCode>General</c:formatCode>
                <c:ptCount val="11"/>
                <c:pt idx="0">
                  <c:v>1398</c:v>
                </c:pt>
                <c:pt idx="1">
                  <c:v>749</c:v>
                </c:pt>
                <c:pt idx="2">
                  <c:v>1992</c:v>
                </c:pt>
                <c:pt idx="3">
                  <c:v>1434</c:v>
                </c:pt>
                <c:pt idx="4">
                  <c:v>1134</c:v>
                </c:pt>
                <c:pt idx="5">
                  <c:v>385</c:v>
                </c:pt>
                <c:pt idx="6">
                  <c:v>948</c:v>
                </c:pt>
                <c:pt idx="7">
                  <c:v>1048</c:v>
                </c:pt>
                <c:pt idx="8">
                  <c:v>1298</c:v>
                </c:pt>
                <c:pt idx="9">
                  <c:v>376</c:v>
                </c:pt>
                <c:pt idx="10">
                  <c:v>899</c:v>
                </c:pt>
              </c:numCache>
            </c:numRef>
          </c:val>
          <c:extLst>
            <c:ext xmlns:c16="http://schemas.microsoft.com/office/drawing/2014/chart" uri="{C3380CC4-5D6E-409C-BE32-E72D297353CC}">
              <c16:uniqueId val="{00000000-ECE7-4DD1-9842-8EB5891B1A04}"/>
            </c:ext>
          </c:extLst>
        </c:ser>
        <c:dLbls>
          <c:showLegendKey val="0"/>
          <c:showVal val="0"/>
          <c:showCatName val="0"/>
          <c:showSerName val="0"/>
          <c:showPercent val="0"/>
          <c:showBubbleSize val="0"/>
        </c:dLbls>
        <c:gapWidth val="219"/>
        <c:overlap val="-27"/>
        <c:axId val="826379135"/>
        <c:axId val="826380799"/>
      </c:barChart>
      <c:lineChart>
        <c:grouping val="standard"/>
        <c:varyColors val="0"/>
        <c:ser>
          <c:idx val="1"/>
          <c:order val="1"/>
          <c:tx>
            <c:strRef>
              <c:f>Sheet3!$C$3</c:f>
              <c:strCache>
                <c:ptCount val="1"/>
                <c:pt idx="0">
                  <c:v>Count of Order ID</c:v>
                </c:pt>
              </c:strCache>
            </c:strRef>
          </c:tx>
          <c:spPr>
            <a:ln w="28575" cap="rnd">
              <a:solidFill>
                <a:schemeClr val="accent2"/>
              </a:solidFill>
              <a:round/>
            </a:ln>
            <a:effectLst/>
          </c:spPr>
          <c:marker>
            <c:symbol val="none"/>
          </c:marker>
          <c:cat>
            <c:strRef>
              <c:f>Sheet3!$A$4:$A$15</c:f>
              <c:strCache>
                <c:ptCount val="11"/>
                <c:pt idx="0">
                  <c:v>February</c:v>
                </c:pt>
                <c:pt idx="1">
                  <c:v>April</c:v>
                </c:pt>
                <c:pt idx="2">
                  <c:v>May</c:v>
                </c:pt>
                <c:pt idx="3">
                  <c:v>July</c:v>
                </c:pt>
                <c:pt idx="4">
                  <c:v>August</c:v>
                </c:pt>
                <c:pt idx="5">
                  <c:v>September</c:v>
                </c:pt>
                <c:pt idx="6">
                  <c:v>October</c:v>
                </c:pt>
                <c:pt idx="7">
                  <c:v>November</c:v>
                </c:pt>
                <c:pt idx="8">
                  <c:v>December</c:v>
                </c:pt>
                <c:pt idx="9">
                  <c:v>anuary</c:v>
                </c:pt>
                <c:pt idx="10">
                  <c:v>(blank)</c:v>
                </c:pt>
              </c:strCache>
            </c:strRef>
          </c:cat>
          <c:val>
            <c:numRef>
              <c:f>Sheet3!$C$4:$C$15</c:f>
              <c:numCache>
                <c:formatCode>General</c:formatCode>
                <c:ptCount val="11"/>
                <c:pt idx="0">
                  <c:v>2</c:v>
                </c:pt>
                <c:pt idx="1">
                  <c:v>1</c:v>
                </c:pt>
                <c:pt idx="2">
                  <c:v>3</c:v>
                </c:pt>
                <c:pt idx="3">
                  <c:v>2</c:v>
                </c:pt>
                <c:pt idx="4">
                  <c:v>2</c:v>
                </c:pt>
                <c:pt idx="5">
                  <c:v>1</c:v>
                </c:pt>
                <c:pt idx="6">
                  <c:v>2</c:v>
                </c:pt>
                <c:pt idx="7">
                  <c:v>2</c:v>
                </c:pt>
                <c:pt idx="8">
                  <c:v>2</c:v>
                </c:pt>
                <c:pt idx="9">
                  <c:v>1</c:v>
                </c:pt>
                <c:pt idx="10">
                  <c:v>1</c:v>
                </c:pt>
              </c:numCache>
            </c:numRef>
          </c:val>
          <c:smooth val="0"/>
          <c:extLst>
            <c:ext xmlns:c16="http://schemas.microsoft.com/office/drawing/2014/chart" uri="{C3380CC4-5D6E-409C-BE32-E72D297353CC}">
              <c16:uniqueId val="{00000001-ECE7-4DD1-9842-8EB5891B1A04}"/>
            </c:ext>
          </c:extLst>
        </c:ser>
        <c:dLbls>
          <c:showLegendKey val="0"/>
          <c:showVal val="0"/>
          <c:showCatName val="0"/>
          <c:showSerName val="0"/>
          <c:showPercent val="0"/>
          <c:showBubbleSize val="0"/>
        </c:dLbls>
        <c:marker val="1"/>
        <c:smooth val="0"/>
        <c:axId val="826379551"/>
        <c:axId val="826377055"/>
      </c:lineChart>
      <c:catAx>
        <c:axId val="82637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80799"/>
        <c:crosses val="autoZero"/>
        <c:auto val="1"/>
        <c:lblAlgn val="ctr"/>
        <c:lblOffset val="100"/>
        <c:noMultiLvlLbl val="0"/>
      </c:catAx>
      <c:valAx>
        <c:axId val="82638079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79135"/>
        <c:crosses val="autoZero"/>
        <c:crossBetween val="between"/>
      </c:valAx>
      <c:valAx>
        <c:axId val="8263770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379551"/>
        <c:crosses val="max"/>
        <c:crossBetween val="between"/>
      </c:valAx>
      <c:catAx>
        <c:axId val="826379551"/>
        <c:scaling>
          <c:orientation val="minMax"/>
        </c:scaling>
        <c:delete val="1"/>
        <c:axPos val="b"/>
        <c:numFmt formatCode="General" sourceLinked="1"/>
        <c:majorTickMark val="out"/>
        <c:minorTickMark val="none"/>
        <c:tickLblPos val="nextTo"/>
        <c:crossAx val="826377055"/>
        <c:crosses val="autoZero"/>
        <c:auto val="1"/>
        <c:lblAlgn val="ctr"/>
        <c:lblOffset val="100"/>
        <c:noMultiLvlLbl val="0"/>
      </c:catAx>
      <c:spPr>
        <a:noFill/>
        <a:ln>
          <a:noFill/>
        </a:ln>
        <a:effectLst/>
      </c:spPr>
    </c:plotArea>
    <c:legend>
      <c:legendPos val="r"/>
      <c:layout>
        <c:manualLayout>
          <c:xMode val="edge"/>
          <c:yMode val="edge"/>
          <c:x val="0.42896758945855756"/>
          <c:y val="1.9304826480023327E-2"/>
          <c:w val="0.52936574387477575"/>
          <c:h val="0.14452824691877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1.xlsx]Man and Woman!PivotTable3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solidFill>
          <a:ln w="19050">
            <a:solidFill>
              <a:schemeClr val="lt1"/>
            </a:solidFill>
          </a:ln>
          <a:effectLst/>
        </c:spPr>
        <c:dLbl>
          <c:idx val="0"/>
          <c:layout>
            <c:manualLayout>
              <c:x val="0.21025590551181103"/>
              <c:y val="-3.202464275298929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ECB2F5-A9F7-4F00-8BF8-752034C8D0D6}" type="CATEGORYNAME">
                  <a:rPr lang="en-US" sz="12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chemeClr val="bg1"/>
                    </a:solidFill>
                  </a:rPr>
                  <a:t>
</a:t>
                </a:r>
                <a:fld id="{78FDC4A9-B4E9-41F8-9F0E-5F3C8B81CD70}" type="PERCENTAGE">
                  <a:rPr lang="en-US" sz="12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21025590551181103"/>
              <c:y val="-3.202464275298929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ECB2F5-A9F7-4F00-8BF8-752034C8D0D6}" type="CATEGORYNAME">
                  <a:rPr lang="en-US" sz="1200"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chemeClr val="bg1"/>
                    </a:solidFill>
                  </a:rPr>
                  <a:t>
</a:t>
                </a:r>
                <a:fld id="{78FDC4A9-B4E9-41F8-9F0E-5F3C8B81CD70}" type="PERCENTAGE">
                  <a:rPr lang="en-US" sz="1200"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9"/>
        <c:spPr>
          <a:solidFill>
            <a:schemeClr val="accent1"/>
          </a:solidFill>
          <a:ln w="19050">
            <a:solidFill>
              <a:schemeClr val="lt1"/>
            </a:solidFill>
          </a:ln>
          <a:effectLst/>
        </c:spPr>
        <c:dLbl>
          <c:idx val="0"/>
          <c:layout>
            <c:manualLayout>
              <c:x val="0.21025590551181103"/>
              <c:y val="-3.202464275298929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ECB2F5-A9F7-4F00-8BF8-752034C8D0D6}" type="CATEGORYNAME">
                  <a:rPr lang="en-US" sz="1200" b="1">
                    <a:solidFill>
                      <a:schemeClr val="bg1"/>
                    </a:solidFill>
                  </a:rPr>
                  <a:pPr>
                    <a:defRPr/>
                  </a:pPr>
                  <a:t>[CATEGORY NAME]</a:t>
                </a:fld>
                <a:r>
                  <a:rPr lang="en-US" sz="1200" b="1" baseline="0">
                    <a:solidFill>
                      <a:schemeClr val="bg1"/>
                    </a:solidFill>
                  </a:rPr>
                  <a:t>
</a:t>
                </a:r>
                <a:fld id="{78FDC4A9-B4E9-41F8-9F0E-5F3C8B81CD70}" type="PERCENTAGE">
                  <a:rPr lang="en-US" sz="1200" b="1" baseline="0">
                    <a:solidFill>
                      <a:schemeClr val="bg1"/>
                    </a:solidFill>
                  </a:rPr>
                  <a:pPr>
                    <a:defRPr/>
                  </a:pPr>
                  <a:t>[PERCENTAGE]</a:t>
                </a:fld>
                <a:endParaRPr lang="en-US" sz="12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pieChart>
        <c:varyColors val="1"/>
        <c:ser>
          <c:idx val="0"/>
          <c:order val="0"/>
          <c:tx>
            <c:strRef>
              <c:f>'Man and Woman'!$B$3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78-4922-B4EA-95BF0C2D11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78-4922-B4EA-95BF0C2D11AF}"/>
              </c:ext>
            </c:extLst>
          </c:dPt>
          <c:dLbls>
            <c:dLbl>
              <c:idx val="0"/>
              <c:layout/>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1-FC78-4922-B4EA-95BF0C2D11AF}"/>
                </c:ext>
              </c:extLst>
            </c:dLbl>
            <c:dLbl>
              <c:idx val="1"/>
              <c:layout>
                <c:manualLayout>
                  <c:x val="0.21025590551181103"/>
                  <c:y val="-3.2024642752989295E-2"/>
                </c:manualLayout>
              </c:layout>
              <c:tx>
                <c:rich>
                  <a:bodyPr/>
                  <a:lstStyle/>
                  <a:p>
                    <a:fld id="{11ECB2F5-A9F7-4F00-8BF8-752034C8D0D6}" type="CATEGORYNAME">
                      <a:rPr lang="en-US" sz="1200" b="1">
                        <a:solidFill>
                          <a:schemeClr val="bg1"/>
                        </a:solidFill>
                      </a:rPr>
                      <a:pPr/>
                      <a:t>[CATEGORY NAME]</a:t>
                    </a:fld>
                    <a:r>
                      <a:rPr lang="en-US" sz="1200" b="1" baseline="0">
                        <a:solidFill>
                          <a:schemeClr val="bg1"/>
                        </a:solidFill>
                      </a:rPr>
                      <a:t>
</a:t>
                    </a:r>
                    <a:fld id="{78FDC4A9-B4E9-41F8-9F0E-5F3C8B81CD70}" type="PERCENTAGE">
                      <a:rPr lang="en-US" sz="1200" b="1" baseline="0">
                        <a:solidFill>
                          <a:schemeClr val="bg1"/>
                        </a:solidFill>
                      </a:rPr>
                      <a:pPr/>
                      <a:t>[PERCENTAGE]</a:t>
                    </a:fld>
                    <a:endParaRPr lang="en-US" sz="1200"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FC78-4922-B4EA-95BF0C2D11A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'Man and Woman'!$A$4:$A$6</c:f>
              <c:strCache>
                <c:ptCount val="2"/>
                <c:pt idx="0">
                  <c:v>Men</c:v>
                </c:pt>
                <c:pt idx="1">
                  <c:v>Women</c:v>
                </c:pt>
              </c:strCache>
            </c:strRef>
          </c:cat>
          <c:val>
            <c:numRef>
              <c:f>'Man and Woman'!$B$4:$B$6</c:f>
              <c:numCache>
                <c:formatCode>General</c:formatCode>
                <c:ptCount val="2"/>
                <c:pt idx="0">
                  <c:v>749</c:v>
                </c:pt>
                <c:pt idx="1">
                  <c:v>10912</c:v>
                </c:pt>
              </c:numCache>
            </c:numRef>
          </c:val>
          <c:extLst>
            <c:ext xmlns:c16="http://schemas.microsoft.com/office/drawing/2014/chart" uri="{C3380CC4-5D6E-409C-BE32-E72D297353CC}">
              <c16:uniqueId val="{00000004-FC78-4922-B4EA-95BF0C2D11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1.xlsx]Order Status!PivotTable4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Lst>
        </c:dLbl>
      </c:pivotFmt>
      <c:pivotFmt>
        <c:idx val="3"/>
        <c:spPr>
          <a:solidFill>
            <a:schemeClr val="accent3"/>
          </a:solidFill>
          <a:ln w="19050">
            <a:solidFill>
              <a:schemeClr val="lt1"/>
            </a:solidFill>
          </a:ln>
          <a:effectLst/>
        </c:spPr>
        <c:dLbl>
          <c:idx val="0"/>
          <c:layout>
            <c:manualLayout>
              <c:x val="0"/>
              <c:y val="0.115606936416184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Refunded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1822222222222223"/>
                  <c:h val="0.22678258967629047"/>
                </c:manualLayout>
              </c15:layout>
            </c:ext>
          </c:extLst>
        </c:dLbl>
      </c:pivotFmt>
      <c:pivotFmt>
        <c:idx val="4"/>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Lst>
        </c:dLbl>
      </c:pivotFmt>
      <c:pivotFmt>
        <c:idx val="7"/>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
              <c:y val="0.115606936416184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Refunded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1822222222222223"/>
                  <c:h val="0.22678258967629047"/>
                </c:manualLayout>
              </c15:layout>
            </c:ext>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Lst>
        </c:dLbl>
      </c:pivotFmt>
      <c:pivotFmt>
        <c:idx val="11"/>
        <c:spPr>
          <a:solidFill>
            <a:schemeClr val="accent2"/>
          </a:solidFill>
          <a:ln w="19050">
            <a:solidFill>
              <a:schemeClr val="lt1"/>
            </a:solidFill>
          </a:ln>
          <a:effectLst/>
        </c:spPr>
        <c:dLbl>
          <c:idx val="0"/>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12"/>
        <c:spPr>
          <a:solidFill>
            <a:schemeClr val="accent3"/>
          </a:solidFill>
          <a:ln w="19050">
            <a:solidFill>
              <a:schemeClr val="lt1"/>
            </a:solidFill>
          </a:ln>
          <a:effectLst/>
        </c:spPr>
        <c:dLbl>
          <c:idx val="0"/>
          <c:layout>
            <c:manualLayout>
              <c:x val="0"/>
              <c:y val="0.115606936416184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Refunded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1822222222222223"/>
                  <c:h val="0.22678258967629047"/>
                </c:manualLayout>
              </c15:layout>
            </c:ext>
          </c:extLst>
        </c:dLbl>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C5-4B75-B20C-D90B356506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C5-4B75-B20C-D90B35650613}"/>
              </c:ext>
            </c:extLst>
          </c:dPt>
          <c:dPt>
            <c:idx val="2"/>
            <c:bubble3D val="0"/>
            <c:extLst>
              <c:ext xmlns:c16="http://schemas.microsoft.com/office/drawing/2014/chart" uri="{C3380CC4-5D6E-409C-BE32-E72D297353CC}">
                <c16:uniqueId val="{00000005-2EC5-4B75-B20C-D90B35650613}"/>
              </c:ext>
            </c:extLst>
          </c:dPt>
          <c:dLbls>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sz="900" b="0" i="0" u="none" strike="noStrike" kern="1200" baseline="0">
                        <a:solidFill>
                          <a:schemeClr val="tx1">
                            <a:lumMod val="75000"/>
                            <a:lumOff val="25000"/>
                          </a:schemeClr>
                        </a:solidFill>
                        <a:latin typeface="+mn-lt"/>
                        <a:ea typeface="+mn-ea"/>
                        <a:cs typeface="+mn-cs"/>
                      </a:defRPr>
                    </a:pPr>
                    <a:r>
                      <a:rPr lang="en-US" sz="1200" b="1"/>
                      <a:t>7</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 xmlns:c16="http://schemas.microsoft.com/office/drawing/2014/chart" uri="{C3380CC4-5D6E-409C-BE32-E72D297353CC}">
                  <c16:uniqueId val="{00000001-2EC5-4B75-B20C-D90B35650613}"/>
                </c:ext>
              </c:extLst>
            </c:dLbl>
            <c:dLbl>
              <c:idx val="1"/>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3-2EC5-4B75-B20C-D90B356506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Status'!$A$4:$A$6</c:f>
              <c:strCache>
                <c:ptCount val="2"/>
                <c:pt idx="0">
                  <c:v>Cancelled</c:v>
                </c:pt>
                <c:pt idx="1">
                  <c:v>Delivered</c:v>
                </c:pt>
              </c:strCache>
            </c:strRef>
          </c:cat>
          <c:val>
            <c:numRef>
              <c:f>'Order Status'!$B$4:$B$6</c:f>
              <c:numCache>
                <c:formatCode>General</c:formatCode>
                <c:ptCount val="2"/>
                <c:pt idx="0">
                  <c:v>1</c:v>
                </c:pt>
                <c:pt idx="1">
                  <c:v>18</c:v>
                </c:pt>
              </c:numCache>
            </c:numRef>
          </c:val>
          <c:extLst>
            <c:ext xmlns:c16="http://schemas.microsoft.com/office/drawing/2014/chart" uri="{C3380CC4-5D6E-409C-BE32-E72D297353CC}">
              <c16:uniqueId val="{00000006-2EC5-4B75-B20C-D90B3565061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1.xlsx]Sheet9!PivotTable6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a:t>
            </a:r>
            <a:endParaRPr lang="en-US"/>
          </a:p>
        </c:rich>
      </c:tx>
      <c:layout>
        <c:manualLayout>
          <c:xMode val="edge"/>
          <c:yMode val="edge"/>
          <c:x val="0.3940971128608923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888888888888889E-2"/>
          <c:y val="0.17171296296296298"/>
          <c:w val="0.93888888888888888"/>
          <c:h val="0.77736111111111106"/>
        </c:manualLayout>
      </c:layout>
      <c:barChart>
        <c:barDir val="bar"/>
        <c:grouping val="clustered"/>
        <c:varyColors val="0"/>
        <c:ser>
          <c:idx val="0"/>
          <c:order val="0"/>
          <c:tx>
            <c:strRef>
              <c:f>Sheet9!$B$3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BENGALURU</c:v>
                </c:pt>
                <c:pt idx="1">
                  <c:v>DELHI</c:v>
                </c:pt>
                <c:pt idx="2">
                  <c:v>INDORE</c:v>
                </c:pt>
                <c:pt idx="3">
                  <c:v>PUNE</c:v>
                </c:pt>
                <c:pt idx="4">
                  <c:v>SURAT</c:v>
                </c:pt>
                <c:pt idx="5">
                  <c:v>AHMEDABAD</c:v>
                </c:pt>
              </c:strCache>
            </c:strRef>
          </c:cat>
          <c:val>
            <c:numRef>
              <c:f>Sheet9!$B$4:$B$10</c:f>
              <c:numCache>
                <c:formatCode>General</c:formatCode>
                <c:ptCount val="6"/>
                <c:pt idx="0">
                  <c:v>2019</c:v>
                </c:pt>
                <c:pt idx="1">
                  <c:v>1697</c:v>
                </c:pt>
                <c:pt idx="2">
                  <c:v>1598</c:v>
                </c:pt>
                <c:pt idx="3">
                  <c:v>1498</c:v>
                </c:pt>
                <c:pt idx="4">
                  <c:v>1398</c:v>
                </c:pt>
                <c:pt idx="5">
                  <c:v>1398</c:v>
                </c:pt>
              </c:numCache>
            </c:numRef>
          </c:val>
          <c:extLst>
            <c:ext xmlns:c16="http://schemas.microsoft.com/office/drawing/2014/chart" uri="{C3380CC4-5D6E-409C-BE32-E72D297353CC}">
              <c16:uniqueId val="{00000000-8A28-4EB4-9D24-560BB97A4E56}"/>
            </c:ext>
          </c:extLst>
        </c:ser>
        <c:dLbls>
          <c:dLblPos val="outEnd"/>
          <c:showLegendKey val="0"/>
          <c:showVal val="1"/>
          <c:showCatName val="0"/>
          <c:showSerName val="0"/>
          <c:showPercent val="0"/>
          <c:showBubbleSize val="0"/>
        </c:dLbls>
        <c:gapWidth val="182"/>
        <c:axId val="858102991"/>
        <c:axId val="858110895"/>
      </c:barChart>
      <c:catAx>
        <c:axId val="858102991"/>
        <c:scaling>
          <c:orientation val="minMax"/>
        </c:scaling>
        <c:delete val="1"/>
        <c:axPos val="l"/>
        <c:numFmt formatCode="General" sourceLinked="1"/>
        <c:majorTickMark val="out"/>
        <c:minorTickMark val="none"/>
        <c:tickLblPos val="nextTo"/>
        <c:crossAx val="858110895"/>
        <c:crosses val="autoZero"/>
        <c:auto val="1"/>
        <c:lblAlgn val="ctr"/>
        <c:lblOffset val="100"/>
        <c:noMultiLvlLbl val="0"/>
      </c:catAx>
      <c:valAx>
        <c:axId val="858110895"/>
        <c:scaling>
          <c:orientation val="minMax"/>
        </c:scaling>
        <c:delete val="1"/>
        <c:axPos val="b"/>
        <c:numFmt formatCode="General" sourceLinked="1"/>
        <c:majorTickMark val="out"/>
        <c:minorTickMark val="none"/>
        <c:tickLblPos val="nextTo"/>
        <c:crossAx val="85810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1.xlsx]Age Group!PivotTable2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Age Vs Gender</a:t>
            </a:r>
            <a:endParaRPr lang="en-IN"/>
          </a:p>
        </c:rich>
      </c:tx>
      <c:layout>
        <c:manualLayout>
          <c:xMode val="edge"/>
          <c:yMode val="edge"/>
          <c:x val="0.2814582239720034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315399893326756"/>
          <c:y val="0.19369270954608828"/>
          <c:w val="0.84684600106673247"/>
          <c:h val="0.67643674347864491"/>
        </c:manualLayout>
      </c:layout>
      <c:barChart>
        <c:barDir val="col"/>
        <c:grouping val="clustered"/>
        <c:varyColors val="0"/>
        <c:ser>
          <c:idx val="0"/>
          <c:order val="0"/>
          <c:tx>
            <c:strRef>
              <c:f>'Age Group'!$B$3:$B$4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Group'!$A$5:$A$9</c:f>
              <c:strCache>
                <c:ptCount val="4"/>
                <c:pt idx="0">
                  <c:v>Adult</c:v>
                </c:pt>
                <c:pt idx="1">
                  <c:v>Senior</c:v>
                </c:pt>
                <c:pt idx="2">
                  <c:v>Teenager</c:v>
                </c:pt>
                <c:pt idx="3">
                  <c:v>(blank)</c:v>
                </c:pt>
              </c:strCache>
            </c:strRef>
          </c:cat>
          <c:val>
            <c:numRef>
              <c:f>'Age Group'!$B$5:$B$9</c:f>
              <c:numCache>
                <c:formatCode>0.00%</c:formatCode>
                <c:ptCount val="4"/>
                <c:pt idx="0">
                  <c:v>0.15</c:v>
                </c:pt>
                <c:pt idx="1">
                  <c:v>0.05</c:v>
                </c:pt>
                <c:pt idx="2">
                  <c:v>0.11666666666666667</c:v>
                </c:pt>
                <c:pt idx="3">
                  <c:v>0</c:v>
                </c:pt>
              </c:numCache>
            </c:numRef>
          </c:val>
          <c:extLst>
            <c:ext xmlns:c16="http://schemas.microsoft.com/office/drawing/2014/chart" uri="{C3380CC4-5D6E-409C-BE32-E72D297353CC}">
              <c16:uniqueId val="{00000000-18C8-4F9F-9F77-E21788E1DC48}"/>
            </c:ext>
          </c:extLst>
        </c:ser>
        <c:ser>
          <c:idx val="1"/>
          <c:order val="1"/>
          <c:tx>
            <c:strRef>
              <c:f>'Age Group'!$C$3:$C$4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Group'!$A$5:$A$9</c:f>
              <c:strCache>
                <c:ptCount val="4"/>
                <c:pt idx="0">
                  <c:v>Adult</c:v>
                </c:pt>
                <c:pt idx="1">
                  <c:v>Senior</c:v>
                </c:pt>
                <c:pt idx="2">
                  <c:v>Teenager</c:v>
                </c:pt>
                <c:pt idx="3">
                  <c:v>(blank)</c:v>
                </c:pt>
              </c:strCache>
            </c:strRef>
          </c:cat>
          <c:val>
            <c:numRef>
              <c:f>'Age Group'!$C$5:$C$9</c:f>
              <c:numCache>
                <c:formatCode>0.00%</c:formatCode>
                <c:ptCount val="4"/>
                <c:pt idx="0">
                  <c:v>0.18333333333333332</c:v>
                </c:pt>
                <c:pt idx="1">
                  <c:v>0.26666666666666666</c:v>
                </c:pt>
                <c:pt idx="2">
                  <c:v>0.21666666666666667</c:v>
                </c:pt>
                <c:pt idx="3">
                  <c:v>1.6666666666666666E-2</c:v>
                </c:pt>
              </c:numCache>
            </c:numRef>
          </c:val>
          <c:extLst>
            <c:ext xmlns:c16="http://schemas.microsoft.com/office/drawing/2014/chart" uri="{C3380CC4-5D6E-409C-BE32-E72D297353CC}">
              <c16:uniqueId val="{00000001-18C8-4F9F-9F77-E21788E1DC48}"/>
            </c:ext>
          </c:extLst>
        </c:ser>
        <c:dLbls>
          <c:dLblPos val="outEnd"/>
          <c:showLegendKey val="0"/>
          <c:showVal val="1"/>
          <c:showCatName val="0"/>
          <c:showSerName val="0"/>
          <c:showPercent val="0"/>
          <c:showBubbleSize val="0"/>
        </c:dLbls>
        <c:gapWidth val="219"/>
        <c:overlap val="-27"/>
        <c:axId val="230691072"/>
        <c:axId val="230694816"/>
      </c:barChart>
      <c:catAx>
        <c:axId val="2306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94816"/>
        <c:crosses val="autoZero"/>
        <c:auto val="1"/>
        <c:lblAlgn val="ctr"/>
        <c:lblOffset val="100"/>
        <c:noMultiLvlLbl val="0"/>
      </c:catAx>
      <c:valAx>
        <c:axId val="230694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9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1.xlsx]Sheet7!PivotTable4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28-4C03-A8FF-BD6D9211F4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28-4C03-A8FF-BD6D9211F4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28-4C03-A8FF-BD6D9211F4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28-4C03-A8FF-BD6D9211F4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28-4C03-A8FF-BD6D9211F4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28-4C03-A8FF-BD6D9211F4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28-4C03-A8FF-BD6D9211F4A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28-4C03-A8FF-BD6D9211F4A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Sheet7!$A$4:$A$11</c:f>
              <c:strCache>
                <c:ptCount val="8"/>
                <c:pt idx="0">
                  <c:v>Ajio</c:v>
                </c:pt>
                <c:pt idx="1">
                  <c:v>Amazon</c:v>
                </c:pt>
                <c:pt idx="2">
                  <c:v>Flipkart</c:v>
                </c:pt>
                <c:pt idx="3">
                  <c:v>Meesho</c:v>
                </c:pt>
                <c:pt idx="4">
                  <c:v>Myntra</c:v>
                </c:pt>
                <c:pt idx="5">
                  <c:v>Nalli</c:v>
                </c:pt>
                <c:pt idx="6">
                  <c:v>Nykaa</c:v>
                </c:pt>
                <c:pt idx="7">
                  <c:v>Others</c:v>
                </c:pt>
              </c:strCache>
            </c:strRef>
          </c:cat>
          <c:val>
            <c:numRef>
              <c:f>Sheet7!$B$4:$B$11</c:f>
              <c:numCache>
                <c:formatCode>General</c:formatCode>
                <c:ptCount val="8"/>
                <c:pt idx="0">
                  <c:v>7</c:v>
                </c:pt>
                <c:pt idx="1">
                  <c:v>13</c:v>
                </c:pt>
                <c:pt idx="2">
                  <c:v>7</c:v>
                </c:pt>
                <c:pt idx="3">
                  <c:v>8</c:v>
                </c:pt>
                <c:pt idx="4">
                  <c:v>16</c:v>
                </c:pt>
                <c:pt idx="5">
                  <c:v>1</c:v>
                </c:pt>
                <c:pt idx="6">
                  <c:v>6</c:v>
                </c:pt>
                <c:pt idx="7">
                  <c:v>2</c:v>
                </c:pt>
              </c:numCache>
            </c:numRef>
          </c:val>
          <c:extLst>
            <c:ext xmlns:c16="http://schemas.microsoft.com/office/drawing/2014/chart" uri="{C3380CC4-5D6E-409C-BE32-E72D297353CC}">
              <c16:uniqueId val="{00000010-BF28-4C03-A8FF-BD6D9211F4A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1.xlsx]Man and Woman!PivotTable3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
        <c:idx val="3"/>
        <c:spPr>
          <a:solidFill>
            <a:schemeClr val="accent1"/>
          </a:solidFill>
          <a:ln w="19050">
            <a:solidFill>
              <a:schemeClr val="lt1"/>
            </a:solidFill>
          </a:ln>
          <a:effectLst/>
        </c:spPr>
        <c:dLbl>
          <c:idx val="0"/>
          <c:layout>
            <c:manualLayout>
              <c:x val="0.21025590551181103"/>
              <c:y val="-3.202464275298929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ECB2F5-A9F7-4F00-8BF8-752034C8D0D6}" type="CATEGORYNAME">
                  <a:rPr lang="en-US" sz="1200" b="1">
                    <a:solidFill>
                      <a:schemeClr val="bg1"/>
                    </a:solidFill>
                  </a:rPr>
                  <a:pPr>
                    <a:defRPr/>
                  </a:pPr>
                  <a:t>[CATEGORY NAME]</a:t>
                </a:fld>
                <a:r>
                  <a:rPr lang="en-US" sz="1200" b="1" baseline="0">
                    <a:solidFill>
                      <a:schemeClr val="bg1"/>
                    </a:solidFill>
                  </a:rPr>
                  <a:t>
</a:t>
                </a:r>
                <a:fld id="{78FDC4A9-B4E9-41F8-9F0E-5F3C8B81CD70}" type="PERCENTAGE">
                  <a:rPr lang="en-US" sz="1200" b="1" baseline="0">
                    <a:solidFill>
                      <a:schemeClr val="bg1"/>
                    </a:solidFill>
                  </a:rPr>
                  <a:pPr>
                    <a:defRPr/>
                  </a:pPr>
                  <a:t>[PERCENTAGE]</a:t>
                </a:fld>
                <a:endParaRPr lang="en-US" sz="12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Lst>
        </c:dLbl>
      </c:pivotFmt>
    </c:pivotFmts>
    <c:plotArea>
      <c:layout/>
      <c:pieChart>
        <c:varyColors val="1"/>
        <c:ser>
          <c:idx val="0"/>
          <c:order val="0"/>
          <c:tx>
            <c:strRef>
              <c:f>'Man and Woman'!$B$3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E9-4623-9CED-C431A34BA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1E9-4623-9CED-C431A34BA063}"/>
              </c:ext>
            </c:extLst>
          </c:dPt>
          <c:dLbls>
            <c:dLbl>
              <c:idx val="0"/>
              <c:layout/>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BBDEB14F-B0B6-4977-A943-9FB8F02BFA90}" type="CATEGORYNAME">
                      <a:rPr lang="en-US" sz="1200" b="1" cap="none" spc="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[CATEGORY NAME]</a:t>
                    </a:fld>
                    <a:r>
                      <a:rPr lang="en-US" sz="1200" b="1" cap="none" spc="0" baseline="0">
                        <a:ln w="0"/>
                        <a:solidFill>
                          <a:schemeClr val="bg1"/>
                        </a:solidFill>
                        <a:effectLst>
                          <a:outerShdw blurRad="38100" dist="19050" dir="2700000" algn="tl" rotWithShape="0">
                            <a:schemeClr val="dk1">
                              <a:alpha val="40000"/>
                            </a:schemeClr>
                          </a:outerShdw>
                        </a:effectLst>
                      </a:rPr>
                      <a:t>
</a:t>
                    </a:r>
                    <a:fld id="{2CA9043E-038F-46CB-B829-F4BBE4FB0045}" type="PERCENTAGE">
                      <a:rPr lang="en-US" sz="1200" b="1" cap="none" spc="0" baseline="0">
                        <a:ln w="0"/>
                        <a:solidFill>
                          <a:schemeClr val="bg1"/>
                        </a:solidFill>
                        <a:effectLst>
                          <a:outerShdw blurRad="38100" dist="19050" dir="2700000" algn="tl" rotWithShape="0">
                            <a:schemeClr val="dk1">
                              <a:alpha val="40000"/>
                            </a:schemeClr>
                          </a:outerShdw>
                        </a:effectLst>
                      </a:rPr>
                      <a:pPr>
                        <a:defRPr cap="none" spc="0">
                          <a:ln w="0"/>
                          <a:solidFill>
                            <a:schemeClr val="tx1"/>
                          </a:solidFill>
                          <a:effectLst>
                            <a:outerShdw blurRad="38100" dist="19050" dir="2700000" algn="tl" rotWithShape="0">
                              <a:schemeClr val="dk1">
                                <a:alpha val="40000"/>
                              </a:schemeClr>
                            </a:outerShdw>
                          </a:effectLst>
                        </a:defRPr>
                      </a:pPr>
                      <a:t>[PERCENTAGE]</a:t>
                    </a:fld>
                    <a:endParaRPr lang="en-US" sz="1200" b="1" cap="none" spc="0" baseline="0">
                      <a:ln w="0"/>
                      <a:solidFill>
                        <a:schemeClr val="bg1"/>
                      </a:solidFill>
                      <a:effectLst>
                        <a:outerShdw blurRad="38100" dist="19050" dir="2700000" algn="tl" rotWithShape="0">
                          <a:schemeClr val="dk1">
                            <a:alpha val="40000"/>
                          </a:schemeClr>
                        </a:outerShdw>
                      </a:effectLst>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1-41E9-4623-9CED-C431A34BA063}"/>
                </c:ext>
              </c:extLst>
            </c:dLbl>
            <c:dLbl>
              <c:idx val="1"/>
              <c:layout>
                <c:manualLayout>
                  <c:x val="0.21025590551181103"/>
                  <c:y val="-3.2024642752989295E-2"/>
                </c:manualLayout>
              </c:layout>
              <c:tx>
                <c:rich>
                  <a:bodyPr/>
                  <a:lstStyle/>
                  <a:p>
                    <a:fld id="{11ECB2F5-A9F7-4F00-8BF8-752034C8D0D6}" type="CATEGORYNAME">
                      <a:rPr lang="en-US" sz="1200" b="1">
                        <a:solidFill>
                          <a:schemeClr val="bg1"/>
                        </a:solidFill>
                      </a:rPr>
                      <a:pPr/>
                      <a:t>[CATEGORY NAME]</a:t>
                    </a:fld>
                    <a:r>
                      <a:rPr lang="en-US" sz="1200" b="1" baseline="0">
                        <a:solidFill>
                          <a:schemeClr val="bg1"/>
                        </a:solidFill>
                      </a:rPr>
                      <a:t>
</a:t>
                    </a:r>
                    <a:fld id="{78FDC4A9-B4E9-41F8-9F0E-5F3C8B81CD70}" type="PERCENTAGE">
                      <a:rPr lang="en-US" sz="1200" b="1" baseline="0">
                        <a:solidFill>
                          <a:schemeClr val="bg1"/>
                        </a:solidFill>
                      </a:rPr>
                      <a:pPr/>
                      <a:t>[PERCENTAGE]</a:t>
                    </a:fld>
                    <a:endParaRPr lang="en-US" sz="1200"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41E9-4623-9CED-C431A34BA06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'Man and Woman'!$A$4:$A$6</c:f>
              <c:strCache>
                <c:ptCount val="2"/>
                <c:pt idx="0">
                  <c:v>Men</c:v>
                </c:pt>
                <c:pt idx="1">
                  <c:v>Women</c:v>
                </c:pt>
              </c:strCache>
            </c:strRef>
          </c:cat>
          <c:val>
            <c:numRef>
              <c:f>'Man and Woman'!$B$4:$B$6</c:f>
              <c:numCache>
                <c:formatCode>General</c:formatCode>
                <c:ptCount val="2"/>
                <c:pt idx="0">
                  <c:v>749</c:v>
                </c:pt>
                <c:pt idx="1">
                  <c:v>10912</c:v>
                </c:pt>
              </c:numCache>
            </c:numRef>
          </c:val>
          <c:extLst>
            <c:ext xmlns:c16="http://schemas.microsoft.com/office/drawing/2014/chart" uri="{C3380CC4-5D6E-409C-BE32-E72D297353CC}">
              <c16:uniqueId val="{00000000-41E9-4623-9CED-C431A34BA06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1.xlsx]Order Status!PivotTable4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a:pPr>
                <a:r>
                  <a:rPr lang="en-US" sz="1200" b="1"/>
                  <a:t>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Lst>
        </c:dLbl>
      </c:pivotFmt>
      <c:pivotFmt>
        <c:idx val="3"/>
        <c:spPr>
          <a:solidFill>
            <a:schemeClr val="accent1"/>
          </a:solidFill>
          <a:ln w="19050">
            <a:solidFill>
              <a:schemeClr val="lt1"/>
            </a:solidFill>
          </a:ln>
          <a:effectLst/>
        </c:spPr>
        <c:dLbl>
          <c:idx val="0"/>
          <c:layout>
            <c:manualLayout>
              <c:x val="0"/>
              <c:y val="0.115606936416184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Refunded</a:t>
                </a:r>
              </a:p>
              <a:p>
                <a:pPr>
                  <a:defRPr/>
                </a:pPr>
                <a:r>
                  <a:rPr lang="en-US" sz="1200" b="1"/>
                  <a:t>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822222222222223"/>
                  <c:h val="0.22678258967629047"/>
                </c:manualLayout>
              </c15:layout>
            </c:ext>
          </c:extLst>
        </c:dLbl>
      </c:pivotFmt>
      <c:pivotFmt>
        <c:idx val="4"/>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22222222222216"/>
                  <c:h val="9.2523477917861419E-2"/>
                </c:manualLayout>
              </c15:layout>
            </c:ext>
          </c:extLst>
        </c:dLbl>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04-486D-8FD5-9A605C46AF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04-486D-8FD5-9A605C46AF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504-486D-8FD5-9A605C46AF11}"/>
              </c:ext>
            </c:extLst>
          </c:dPt>
          <c:dLbls>
            <c:dLbl>
              <c:idx val="0"/>
              <c:layout>
                <c:manualLayout>
                  <c:x val="-2.5000000000000102E-2"/>
                  <c:y val="8.092500720646912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Cancelled</a:t>
                    </a:r>
                  </a:p>
                  <a:p>
                    <a:pPr>
                      <a:defRPr/>
                    </a:pPr>
                    <a:r>
                      <a:rPr lang="en-US" sz="1200" b="1"/>
                      <a:t>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044444444444443"/>
                      <c:h val="0.2175233304170312"/>
                    </c:manualLayout>
                  </c15:layout>
                </c:ext>
                <c:ext xmlns:c16="http://schemas.microsoft.com/office/drawing/2014/chart" uri="{C3380CC4-5D6E-409C-BE32-E72D297353CC}">
                  <c16:uniqueId val="{00000001-8504-486D-8FD5-9A605C46AF11}"/>
                </c:ext>
              </c:extLst>
            </c:dLbl>
            <c:dLbl>
              <c:idx val="1"/>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200" b="1"/>
                      <a:t>Delievered</a:t>
                    </a:r>
                    <a:r>
                      <a:rPr lang="en-US" sz="1200" b="1" baseline="0"/>
                      <a:t> 46</a:t>
                    </a:r>
                    <a:endParaRPr lang="en-US" sz="1200" b="1"/>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22222222222216"/>
                      <c:h val="9.2523477917861419E-2"/>
                    </c:manualLayout>
                  </c15:layout>
                </c:ext>
                <c:ext xmlns:c16="http://schemas.microsoft.com/office/drawing/2014/chart" uri="{C3380CC4-5D6E-409C-BE32-E72D297353CC}">
                  <c16:uniqueId val="{00000003-8504-486D-8FD5-9A605C46AF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Status'!$A$4:$A$6</c:f>
              <c:strCache>
                <c:ptCount val="2"/>
                <c:pt idx="0">
                  <c:v>Cancelled</c:v>
                </c:pt>
                <c:pt idx="1">
                  <c:v>Delivered</c:v>
                </c:pt>
              </c:strCache>
            </c:strRef>
          </c:cat>
          <c:val>
            <c:numRef>
              <c:f>'Order Status'!$B$4:$B$6</c:f>
              <c:numCache>
                <c:formatCode>General</c:formatCode>
                <c:ptCount val="2"/>
                <c:pt idx="0">
                  <c:v>1</c:v>
                </c:pt>
                <c:pt idx="1">
                  <c:v>18</c:v>
                </c:pt>
              </c:numCache>
            </c:numRef>
          </c:val>
          <c:extLst>
            <c:ext xmlns:c16="http://schemas.microsoft.com/office/drawing/2014/chart" uri="{C3380CC4-5D6E-409C-BE32-E72D297353CC}">
              <c16:uniqueId val="{00000000-8504-486D-8FD5-9A605C46AF1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pivotFmt>
      <c:pivotFmt>
        <c:idx val="3"/>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BENGALURU</c:v>
                </c:pt>
                <c:pt idx="1">
                  <c:v>DELHI</c:v>
                </c:pt>
                <c:pt idx="2">
                  <c:v>INDORE</c:v>
                </c:pt>
                <c:pt idx="3">
                  <c:v>PUNE</c:v>
                </c:pt>
                <c:pt idx="4">
                  <c:v>SURAT</c:v>
                </c:pt>
                <c:pt idx="5">
                  <c:v>AHMEDABAD</c:v>
                </c:pt>
              </c:strCache>
            </c:strRef>
          </c:cat>
          <c:val>
            <c:numRef>
              <c:f>Sheet9!$B$4:$B$10</c:f>
              <c:numCache>
                <c:formatCode>General</c:formatCode>
                <c:ptCount val="6"/>
                <c:pt idx="0">
                  <c:v>2019</c:v>
                </c:pt>
                <c:pt idx="1">
                  <c:v>1697</c:v>
                </c:pt>
                <c:pt idx="2">
                  <c:v>1598</c:v>
                </c:pt>
                <c:pt idx="3">
                  <c:v>1498</c:v>
                </c:pt>
                <c:pt idx="4">
                  <c:v>1398</c:v>
                </c:pt>
                <c:pt idx="5">
                  <c:v>1398</c:v>
                </c:pt>
              </c:numCache>
            </c:numRef>
          </c:val>
          <c:extLst>
            <c:ext xmlns:c16="http://schemas.microsoft.com/office/drawing/2014/chart" uri="{C3380CC4-5D6E-409C-BE32-E72D297353CC}">
              <c16:uniqueId val="{00000000-46CA-45F3-984C-0ECD651216E1}"/>
            </c:ext>
          </c:extLst>
        </c:ser>
        <c:dLbls>
          <c:dLblPos val="outEnd"/>
          <c:showLegendKey val="0"/>
          <c:showVal val="1"/>
          <c:showCatName val="0"/>
          <c:showSerName val="0"/>
          <c:showPercent val="0"/>
          <c:showBubbleSize val="0"/>
        </c:dLbls>
        <c:gapWidth val="182"/>
        <c:axId val="858102991"/>
        <c:axId val="858110895"/>
      </c:barChart>
      <c:catAx>
        <c:axId val="858102991"/>
        <c:scaling>
          <c:orientation val="minMax"/>
        </c:scaling>
        <c:delete val="1"/>
        <c:axPos val="l"/>
        <c:numFmt formatCode="General" sourceLinked="1"/>
        <c:majorTickMark val="out"/>
        <c:minorTickMark val="none"/>
        <c:tickLblPos val="nextTo"/>
        <c:crossAx val="858110895"/>
        <c:crosses val="autoZero"/>
        <c:auto val="1"/>
        <c:lblAlgn val="ctr"/>
        <c:lblOffset val="100"/>
        <c:noMultiLvlLbl val="0"/>
      </c:catAx>
      <c:valAx>
        <c:axId val="858110895"/>
        <c:scaling>
          <c:orientation val="minMax"/>
        </c:scaling>
        <c:delete val="1"/>
        <c:axPos val="b"/>
        <c:numFmt formatCode="General" sourceLinked="1"/>
        <c:majorTickMark val="out"/>
        <c:minorTickMark val="none"/>
        <c:tickLblPos val="nextTo"/>
        <c:crossAx val="85810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1.xlsx]Age Group!PivotTable2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Age Vs Gender</a:t>
            </a:r>
            <a:endParaRPr lang="en-IN"/>
          </a:p>
        </c:rich>
      </c:tx>
      <c:layout>
        <c:manualLayout>
          <c:xMode val="edge"/>
          <c:yMode val="edge"/>
          <c:x val="0.2814582239720034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'Age Group'!$B$3:$B$4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Group'!$A$5:$A$9</c:f>
              <c:strCache>
                <c:ptCount val="4"/>
                <c:pt idx="0">
                  <c:v>Adult</c:v>
                </c:pt>
                <c:pt idx="1">
                  <c:v>Senior</c:v>
                </c:pt>
                <c:pt idx="2">
                  <c:v>Teenager</c:v>
                </c:pt>
                <c:pt idx="3">
                  <c:v>(blank)</c:v>
                </c:pt>
              </c:strCache>
            </c:strRef>
          </c:cat>
          <c:val>
            <c:numRef>
              <c:f>'Age Group'!$B$5:$B$9</c:f>
              <c:numCache>
                <c:formatCode>0.00%</c:formatCode>
                <c:ptCount val="4"/>
                <c:pt idx="0">
                  <c:v>0.15</c:v>
                </c:pt>
                <c:pt idx="1">
                  <c:v>0.05</c:v>
                </c:pt>
                <c:pt idx="2">
                  <c:v>0.11666666666666667</c:v>
                </c:pt>
                <c:pt idx="3">
                  <c:v>0</c:v>
                </c:pt>
              </c:numCache>
            </c:numRef>
          </c:val>
          <c:extLst>
            <c:ext xmlns:c16="http://schemas.microsoft.com/office/drawing/2014/chart" uri="{C3380CC4-5D6E-409C-BE32-E72D297353CC}">
              <c16:uniqueId val="{00000000-6076-4BC5-AB02-47AE5A29C3F8}"/>
            </c:ext>
          </c:extLst>
        </c:ser>
        <c:ser>
          <c:idx val="1"/>
          <c:order val="1"/>
          <c:tx>
            <c:strRef>
              <c:f>'Age Group'!$C$3:$C$4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Group'!$A$5:$A$9</c:f>
              <c:strCache>
                <c:ptCount val="4"/>
                <c:pt idx="0">
                  <c:v>Adult</c:v>
                </c:pt>
                <c:pt idx="1">
                  <c:v>Senior</c:v>
                </c:pt>
                <c:pt idx="2">
                  <c:v>Teenager</c:v>
                </c:pt>
                <c:pt idx="3">
                  <c:v>(blank)</c:v>
                </c:pt>
              </c:strCache>
            </c:strRef>
          </c:cat>
          <c:val>
            <c:numRef>
              <c:f>'Age Group'!$C$5:$C$9</c:f>
              <c:numCache>
                <c:formatCode>0.00%</c:formatCode>
                <c:ptCount val="4"/>
                <c:pt idx="0">
                  <c:v>0.18333333333333332</c:v>
                </c:pt>
                <c:pt idx="1">
                  <c:v>0.26666666666666666</c:v>
                </c:pt>
                <c:pt idx="2">
                  <c:v>0.21666666666666667</c:v>
                </c:pt>
                <c:pt idx="3">
                  <c:v>1.6666666666666666E-2</c:v>
                </c:pt>
              </c:numCache>
            </c:numRef>
          </c:val>
          <c:extLst>
            <c:ext xmlns:c16="http://schemas.microsoft.com/office/drawing/2014/chart" uri="{C3380CC4-5D6E-409C-BE32-E72D297353CC}">
              <c16:uniqueId val="{00000001-6076-4BC5-AB02-47AE5A29C3F8}"/>
            </c:ext>
          </c:extLst>
        </c:ser>
        <c:dLbls>
          <c:dLblPos val="outEnd"/>
          <c:showLegendKey val="0"/>
          <c:showVal val="1"/>
          <c:showCatName val="0"/>
          <c:showSerName val="0"/>
          <c:showPercent val="0"/>
          <c:showBubbleSize val="0"/>
        </c:dLbls>
        <c:gapWidth val="219"/>
        <c:overlap val="-27"/>
        <c:axId val="230691072"/>
        <c:axId val="230694816"/>
      </c:barChart>
      <c:catAx>
        <c:axId val="2306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94816"/>
        <c:crosses val="autoZero"/>
        <c:auto val="1"/>
        <c:lblAlgn val="ctr"/>
        <c:lblOffset val="100"/>
        <c:noMultiLvlLbl val="0"/>
      </c:catAx>
      <c:valAx>
        <c:axId val="230694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9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1.xlsx]Sheet7!PivotTable4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Sheet7!$A$4:$A$11</c:f>
              <c:strCache>
                <c:ptCount val="8"/>
                <c:pt idx="0">
                  <c:v>Ajio</c:v>
                </c:pt>
                <c:pt idx="1">
                  <c:v>Amazon</c:v>
                </c:pt>
                <c:pt idx="2">
                  <c:v>Flipkart</c:v>
                </c:pt>
                <c:pt idx="3">
                  <c:v>Meesho</c:v>
                </c:pt>
                <c:pt idx="4">
                  <c:v>Myntra</c:v>
                </c:pt>
                <c:pt idx="5">
                  <c:v>Nalli</c:v>
                </c:pt>
                <c:pt idx="6">
                  <c:v>Nykaa</c:v>
                </c:pt>
                <c:pt idx="7">
                  <c:v>Others</c:v>
                </c:pt>
              </c:strCache>
            </c:strRef>
          </c:cat>
          <c:val>
            <c:numRef>
              <c:f>Sheet7!$B$4:$B$11</c:f>
              <c:numCache>
                <c:formatCode>General</c:formatCode>
                <c:ptCount val="8"/>
                <c:pt idx="0">
                  <c:v>7</c:v>
                </c:pt>
                <c:pt idx="1">
                  <c:v>13</c:v>
                </c:pt>
                <c:pt idx="2">
                  <c:v>7</c:v>
                </c:pt>
                <c:pt idx="3">
                  <c:v>8</c:v>
                </c:pt>
                <c:pt idx="4">
                  <c:v>16</c:v>
                </c:pt>
                <c:pt idx="5">
                  <c:v>1</c:v>
                </c:pt>
                <c:pt idx="6">
                  <c:v>6</c:v>
                </c:pt>
                <c:pt idx="7">
                  <c:v>2</c:v>
                </c:pt>
              </c:numCache>
            </c:numRef>
          </c:val>
          <c:extLst>
            <c:ext xmlns:c16="http://schemas.microsoft.com/office/drawing/2014/chart" uri="{C3380CC4-5D6E-409C-BE32-E72D297353CC}">
              <c16:uniqueId val="{00000000-83C0-4098-AB4B-BE3F8685F57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60960</xdr:colOff>
      <xdr:row>0</xdr:row>
      <xdr:rowOff>152400</xdr:rowOff>
    </xdr:from>
    <xdr:to>
      <xdr:col>11</xdr:col>
      <xdr:colOff>365760</xdr:colOff>
      <xdr:row>17</xdr:row>
      <xdr:rowOff>9144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180340</xdr:colOff>
      <xdr:row>2</xdr:row>
      <xdr:rowOff>10160</xdr:rowOff>
    </xdr:from>
    <xdr:to>
      <xdr:col>12</xdr:col>
      <xdr:colOff>213360</xdr:colOff>
      <xdr:row>14</xdr:row>
      <xdr:rowOff>40640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508000</xdr:colOff>
      <xdr:row>2</xdr:row>
      <xdr:rowOff>30480</xdr:rowOff>
    </xdr:from>
    <xdr:to>
      <xdr:col>17</xdr:col>
      <xdr:colOff>576974</xdr:colOff>
      <xdr:row>14</xdr:row>
      <xdr:rowOff>162560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548640</xdr:colOff>
      <xdr:row>2</xdr:row>
      <xdr:rowOff>102173</xdr:rowOff>
    </xdr:from>
    <xdr:to>
      <xdr:col>25</xdr:col>
      <xdr:colOff>386795</xdr:colOff>
      <xdr:row>15</xdr:row>
      <xdr:rowOff>111760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1178560</xdr:colOff>
      <xdr:row>15</xdr:row>
      <xdr:rowOff>20319</xdr:rowOff>
    </xdr:from>
    <xdr:to>
      <xdr:col>10</xdr:col>
      <xdr:colOff>457200</xdr:colOff>
      <xdr:row>30</xdr:row>
      <xdr:rowOff>64680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36003</xdr:colOff>
      <xdr:row>16</xdr:row>
      <xdr:rowOff>150524</xdr:rowOff>
    </xdr:from>
    <xdr:to>
      <xdr:col>18</xdr:col>
      <xdr:colOff>146658</xdr:colOff>
      <xdr:row>29</xdr:row>
      <xdr:rowOff>139425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355600</xdr:colOff>
      <xdr:row>17</xdr:row>
      <xdr:rowOff>101600</xdr:rowOff>
    </xdr:from>
    <xdr:to>
      <xdr:col>25</xdr:col>
      <xdr:colOff>528320</xdr:colOff>
      <xdr:row>29</xdr:row>
      <xdr:rowOff>172720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12</xdr:row>
      <xdr:rowOff>152401</xdr:rowOff>
    </xdr:from>
    <xdr:to>
      <xdr:col>0</xdr:col>
      <xdr:colOff>1176020</xdr:colOff>
      <xdr:row>20</xdr:row>
      <xdr:rowOff>162561</xdr:rowOff>
    </xdr:to>
    <mc:AlternateContent xmlns:mc="http://schemas.openxmlformats.org/markup-compatibility/2006">
      <mc:Choice xmlns:a14="http://schemas.microsoft.com/office/drawing/2010/main" Requires="a14">
        <xdr:graphicFrame macro="">
          <xdr:nvGraphicFramePr>
            <xdr:cNvPr id="3"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2572379"/>
              <a:ext cx="1176020" cy="1483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33021</xdr:rowOff>
    </xdr:from>
    <xdr:to>
      <xdr:col>0</xdr:col>
      <xdr:colOff>1203960</xdr:colOff>
      <xdr:row>29</xdr:row>
      <xdr:rowOff>91441</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4295197"/>
              <a:ext cx="1203960" cy="1347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xdr:colOff>
      <xdr:row>2</xdr:row>
      <xdr:rowOff>177801</xdr:rowOff>
    </xdr:from>
    <xdr:to>
      <xdr:col>0</xdr:col>
      <xdr:colOff>1107440</xdr:colOff>
      <xdr:row>11</xdr:row>
      <xdr:rowOff>101601</xdr:rowOff>
    </xdr:to>
    <mc:AlternateContent xmlns:mc="http://schemas.openxmlformats.org/markup-compatibility/2006">
      <mc:Choice xmlns:a14="http://schemas.microsoft.com/office/drawing/2010/main" Requires="a14">
        <xdr:graphicFrame macro="">
          <xdr:nvGraphicFramePr>
            <xdr:cNvPr id="10"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940" y="755581"/>
              <a:ext cx="1079500" cy="1581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83820</xdr:colOff>
      <xdr:row>7</xdr:row>
      <xdr:rowOff>118110</xdr:rowOff>
    </xdr:from>
    <xdr:to>
      <xdr:col>11</xdr:col>
      <xdr:colOff>388620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403860</xdr:colOff>
      <xdr:row>7</xdr:row>
      <xdr:rowOff>118110</xdr:rowOff>
    </xdr:from>
    <xdr:to>
      <xdr:col>12</xdr:col>
      <xdr:colOff>99060</xdr:colOff>
      <xdr:row>25</xdr:row>
      <xdr:rowOff>121920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548640</xdr:colOff>
      <xdr:row>6</xdr:row>
      <xdr:rowOff>49530</xdr:rowOff>
    </xdr:from>
    <xdr:to>
      <xdr:col>13</xdr:col>
      <xdr:colOff>243840</xdr:colOff>
      <xdr:row>21</xdr:row>
      <xdr:rowOff>49530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495300</xdr:colOff>
      <xdr:row>7</xdr:row>
      <xdr:rowOff>118110</xdr:rowOff>
    </xdr:from>
    <xdr:to>
      <xdr:col>12</xdr:col>
      <xdr:colOff>22860</xdr:colOff>
      <xdr:row>20</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137160</xdr:colOff>
      <xdr:row>6</xdr:row>
      <xdr:rowOff>68580</xdr:rowOff>
    </xdr:from>
    <xdr:to>
      <xdr:col>12</xdr:col>
      <xdr:colOff>441960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126.643057407404" createdVersion="6" refreshedVersion="6" minRefreshableVersion="3" recordCount="60">
  <cacheSource type="worksheet">
    <worksheetSource ref="A1:P61" sheet="Sheet1"/>
  </cacheSource>
  <cacheFields count="16">
    <cacheField name="Index" numFmtId="0">
      <sharedItems containsSemiMixedTypes="0" containsString="0" containsNumber="1" containsInteger="1" minValue="1" maxValue="60"/>
    </cacheField>
    <cacheField name="Order ID" numFmtId="0">
      <sharedItems/>
    </cacheField>
    <cacheField name="Customer ID" numFmtId="0">
      <sharedItems containsSemiMixedTypes="0" containsString="0" containsNumber="1" containsInteger="1" minValue="123456" maxValue="9293516"/>
    </cacheField>
    <cacheField name="Gender" numFmtId="0">
      <sharedItems count="2">
        <s v="Women"/>
        <s v="Men"/>
      </sharedItems>
    </cacheField>
    <cacheField name="Age" numFmtId="0">
      <sharedItems containsSemiMixedTypes="0" containsString="0" containsNumber="1" containsInteger="1" minValue="18" maxValue="76" count="38">
        <n v="44"/>
        <n v="29"/>
        <n v="67"/>
        <n v="20"/>
        <n v="62"/>
        <n v="49"/>
        <n v="23"/>
        <n v="70"/>
        <n v="75"/>
        <n v="43"/>
        <n v="76"/>
        <n v="45"/>
        <n v="18"/>
        <n v="52"/>
        <n v="30"/>
        <n v="48"/>
        <n v="24"/>
        <n v="46"/>
        <n v="31"/>
        <n v="28"/>
        <n v="35"/>
        <n v="42"/>
        <n v="27"/>
        <n v="40"/>
        <n v="36"/>
        <n v="21"/>
        <n v="50"/>
        <n v="33"/>
        <n v="38"/>
        <n v="41"/>
        <n v="26"/>
        <n v="34"/>
        <n v="37"/>
        <n v="25"/>
        <n v="32"/>
        <n v="22"/>
        <n v="39"/>
        <n v="47"/>
      </sharedItems>
    </cacheField>
    <cacheField name="Status" numFmtId="0">
      <sharedItems count="3">
        <s v="Delivered"/>
        <s v="Refunded"/>
        <s v="Cancelled"/>
      </sharedItems>
    </cacheField>
    <cacheField name="Channel" numFmtId="0">
      <sharedItems count="8">
        <s v="Myntra"/>
        <s v="Ajio"/>
        <s v="Amazon"/>
        <s v="Flipkart"/>
        <s v="Meesho"/>
        <s v="Others"/>
        <s v="Nykaa"/>
        <s v="Nalli"/>
      </sharedItems>
    </cacheField>
    <cacheField name="SKU" numFmtId="0">
      <sharedItems/>
    </cacheField>
    <cacheField name="Category" numFmtId="0">
      <sharedItems count="4">
        <s v="Kurta"/>
        <s v="Set"/>
        <s v="Western Dress"/>
        <s v="Top"/>
      </sharedItems>
    </cacheField>
    <cacheField name="Size" numFmtId="0">
      <sharedItems/>
    </cacheField>
    <cacheField name="Qty" numFmtId="0">
      <sharedItems containsSemiMixedTypes="0" containsString="0" containsNumber="1" containsInteger="1" minValue="1" maxValue="1"/>
    </cacheField>
    <cacheField name="Currency" numFmtId="0">
      <sharedItems/>
    </cacheField>
    <cacheField name="Amount" numFmtId="0">
      <sharedItems containsSemiMixedTypes="0" containsString="0" containsNumber="1" containsInteger="1" minValue="299" maxValue="1449"/>
    </cacheField>
    <cacheField name="Ship City" numFmtId="0">
      <sharedItems count="20">
        <s v="MOHALI"/>
        <s v="GURUGRAM"/>
        <s v="KOLKATA"/>
        <s v="THANJAVUR"/>
        <s v="KUPWARA"/>
        <s v="BENGALURU"/>
        <s v="VIJAYAWADA"/>
        <s v="VISAKHAPATNAM"/>
        <s v="HYDERABAD"/>
        <s v="DELHI"/>
        <s v="MUMBAI"/>
        <s v="PUNE"/>
        <s v="JAIPUR"/>
        <s v="AHMEDABAD"/>
        <s v="LUCKNOW"/>
        <s v="CHANDIGARH"/>
        <s v="NAGPUR"/>
        <s v="INDORE"/>
        <s v="BHOPAL"/>
        <s v="SURAT"/>
      </sharedItems>
    </cacheField>
    <cacheField name="Month" numFmtId="0">
      <sharedItems containsBlank="1" count="14">
        <s v="anuary"/>
        <s v="February"/>
        <s v="March"/>
        <s v="April"/>
        <s v="May"/>
        <s v="June"/>
        <s v="July"/>
        <s v="August"/>
        <s v="September"/>
        <s v="October"/>
        <s v="November"/>
        <s v="December"/>
        <s v="January"/>
        <m/>
      </sharedItems>
    </cacheField>
    <cacheField name="Date" numFmtId="0">
      <sharedItems containsNonDate="0" containsDate="1" containsString="0" containsBlank="1" minDate="2022-01-01T00:00:00" maxDate="2022-12-31T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26.87462638889" createdVersion="6" refreshedVersion="6" minRefreshableVersion="3" recordCount="60">
  <cacheSource type="worksheet">
    <worksheetSource ref="A1:Q61" sheet="Sheet1"/>
  </cacheSource>
  <cacheFields count="17">
    <cacheField name="Index" numFmtId="0">
      <sharedItems containsSemiMixedTypes="0" containsString="0" containsNumber="1" containsInteger="1" minValue="1" maxValue="60"/>
    </cacheField>
    <cacheField name="Order ID" numFmtId="0">
      <sharedItems/>
    </cacheField>
    <cacheField name="Customer ID" numFmtId="0">
      <sharedItems containsSemiMixedTypes="0" containsString="0" containsNumber="1" containsInteger="1" minValue="123456" maxValue="9293516"/>
    </cacheField>
    <cacheField name="Gender" numFmtId="0">
      <sharedItems count="2">
        <s v="Women"/>
        <s v="Men"/>
      </sharedItems>
    </cacheField>
    <cacheField name="Age" numFmtId="0">
      <sharedItems containsSemiMixedTypes="0" containsString="0" containsNumber="1" containsInteger="1" minValue="18" maxValue="76"/>
    </cacheField>
    <cacheField name="Status" numFmtId="0">
      <sharedItems/>
    </cacheField>
    <cacheField name="Channel" numFmtId="0">
      <sharedItems/>
    </cacheField>
    <cacheField name="SKU" numFmtId="0">
      <sharedItems/>
    </cacheField>
    <cacheField name="Category" numFmtId="0">
      <sharedItems/>
    </cacheField>
    <cacheField name="Size" numFmtId="0">
      <sharedItems/>
    </cacheField>
    <cacheField name="Qty" numFmtId="0">
      <sharedItems containsSemiMixedTypes="0" containsString="0" containsNumber="1" containsInteger="1" minValue="1" maxValue="1"/>
    </cacheField>
    <cacheField name="Currency" numFmtId="0">
      <sharedItems/>
    </cacheField>
    <cacheField name="Amount" numFmtId="0">
      <sharedItems containsSemiMixedTypes="0" containsString="0" containsNumber="1" containsInteger="1" minValue="299" maxValue="1449"/>
    </cacheField>
    <cacheField name="Ship City" numFmtId="0">
      <sharedItems/>
    </cacheField>
    <cacheField name="Month" numFmtId="0">
      <sharedItems containsBlank="1"/>
    </cacheField>
    <cacheField name="Date" numFmtId="0">
      <sharedItems containsNonDate="0" containsDate="1" containsString="0" containsBlank="1" minDate="2022-01-01T00:00:00" maxDate="2022-12-31T00:00:00"/>
    </cacheField>
    <cacheField name="Age Group" numFmtId="0">
      <sharedItems containsBlank="1" count="4">
        <s v="Teenager"/>
        <s v="Adult"/>
        <s v="Senior"/>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126.880166782408" createdVersion="6" refreshedVersion="6" minRefreshableVersion="3" recordCount="60">
  <cacheSource type="worksheet">
    <worksheetSource ref="A1:R61" sheet="Sheet1"/>
  </cacheSource>
  <cacheFields count="18">
    <cacheField name="Index" numFmtId="0">
      <sharedItems containsSemiMixedTypes="0" containsString="0" containsNumber="1" containsInteger="1" minValue="1" maxValue="60"/>
    </cacheField>
    <cacheField name="Order ID" numFmtId="0">
      <sharedItems/>
    </cacheField>
    <cacheField name="Customer ID" numFmtId="0">
      <sharedItems containsSemiMixedTypes="0" containsString="0" containsNumber="1" containsInteger="1" minValue="123456" maxValue="9293516"/>
    </cacheField>
    <cacheField name="Gender" numFmtId="0">
      <sharedItems/>
    </cacheField>
    <cacheField name="Age" numFmtId="0">
      <sharedItems containsSemiMixedTypes="0" containsString="0" containsNumber="1" containsInteger="1" minValue="18" maxValue="76"/>
    </cacheField>
    <cacheField name="Status" numFmtId="0">
      <sharedItems/>
    </cacheField>
    <cacheField name="Channel" numFmtId="0">
      <sharedItems count="8">
        <s v="Myntra"/>
        <s v="Ajio"/>
        <s v="Amazon"/>
        <s v="Flipkart"/>
        <s v="Meesho"/>
        <s v="Others"/>
        <s v="Nykaa"/>
        <s v="Nalli"/>
      </sharedItems>
    </cacheField>
    <cacheField name="SKU" numFmtId="0">
      <sharedItems/>
    </cacheField>
    <cacheField name="Category" numFmtId="0">
      <sharedItems/>
    </cacheField>
    <cacheField name="Size" numFmtId="0">
      <sharedItems/>
    </cacheField>
    <cacheField name="Qty" numFmtId="0">
      <sharedItems containsSemiMixedTypes="0" containsString="0" containsNumber="1" containsInteger="1" minValue="1" maxValue="1"/>
    </cacheField>
    <cacheField name="Currency" numFmtId="0">
      <sharedItems/>
    </cacheField>
    <cacheField name="Amount" numFmtId="0">
      <sharedItems containsSemiMixedTypes="0" containsString="0" containsNumber="1" containsInteger="1" minValue="299" maxValue="1449"/>
    </cacheField>
    <cacheField name="Ship City" numFmtId="0">
      <sharedItems/>
    </cacheField>
    <cacheField name="Month" numFmtId="0">
      <sharedItems/>
    </cacheField>
    <cacheField name="Date" numFmtId="14">
      <sharedItems containsSemiMixedTypes="0" containsNonDate="0" containsDate="1" containsString="0" minDate="2022-01-01T00:00:00" maxDate="2022-12-31T00:00:00"/>
    </cacheField>
    <cacheField name="Age Group" numFmtId="0">
      <sharedItems/>
    </cacheField>
    <cacheField name="Channel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0">
  <r>
    <n v="1"/>
    <s v="171-1029312-3038738"/>
    <n v="1029312"/>
    <x v="0"/>
    <x v="0"/>
    <x v="0"/>
    <x v="0"/>
    <s v="JNE1233-BLUE-KR-031-XXL"/>
    <x v="0"/>
    <s v="XXL"/>
    <n v="1"/>
    <s v="INR"/>
    <n v="376"/>
    <x v="0"/>
    <x v="0"/>
    <d v="2022-01-01T00:00:00"/>
  </r>
  <r>
    <n v="2"/>
    <s v="405-2183842-2225946"/>
    <n v="2183842"/>
    <x v="0"/>
    <x v="1"/>
    <x v="0"/>
    <x v="1"/>
    <s v="SET414-KR-NP-L"/>
    <x v="1"/>
    <s v="L"/>
    <n v="1"/>
    <s v="INR"/>
    <n v="1449"/>
    <x v="1"/>
    <x v="1"/>
    <d v="2022-02-05T00:00:00"/>
  </r>
  <r>
    <n v="3"/>
    <s v="171-1641533-8921966"/>
    <n v="1641533"/>
    <x v="0"/>
    <x v="2"/>
    <x v="0"/>
    <x v="0"/>
    <s v="SET261-KR-PP-S"/>
    <x v="1"/>
    <s v="S"/>
    <n v="1"/>
    <s v="INR"/>
    <n v="453"/>
    <x v="2"/>
    <x v="2"/>
    <d v="2022-03-10T00:00:00"/>
  </r>
  <r>
    <n v="4"/>
    <s v="404-7490807-6300351"/>
    <n v="7490807"/>
    <x v="0"/>
    <x v="3"/>
    <x v="0"/>
    <x v="2"/>
    <s v="SET110-KR-PP-M"/>
    <x v="1"/>
    <s v="M"/>
    <n v="1"/>
    <s v="INR"/>
    <n v="729"/>
    <x v="3"/>
    <x v="3"/>
    <d v="2022-04-15T00:00:00"/>
  </r>
  <r>
    <n v="5"/>
    <s v="403-9293516-4577154"/>
    <n v="9293516"/>
    <x v="0"/>
    <x v="4"/>
    <x v="0"/>
    <x v="0"/>
    <s v="JNE2294-KR-A-XXL"/>
    <x v="0"/>
    <s v="XXL"/>
    <n v="1"/>
    <s v="INR"/>
    <n v="544"/>
    <x v="1"/>
    <x v="4"/>
    <d v="2022-05-20T00:00:00"/>
  </r>
  <r>
    <n v="6"/>
    <s v="407-1298130-0368305"/>
    <n v="1298130"/>
    <x v="1"/>
    <x v="5"/>
    <x v="0"/>
    <x v="3"/>
    <s v="JNE3797-KR-XXL"/>
    <x v="2"/>
    <s v="XXL"/>
    <n v="1"/>
    <s v="INR"/>
    <n v="735"/>
    <x v="4"/>
    <x v="5"/>
    <d v="2022-06-25T00:00:00"/>
  </r>
  <r>
    <n v="7"/>
    <s v="407-1298130-0368305"/>
    <n v="1298130"/>
    <x v="0"/>
    <x v="6"/>
    <x v="0"/>
    <x v="4"/>
    <s v="JNE3801-KR-XXL"/>
    <x v="0"/>
    <s v="XXL"/>
    <n v="1"/>
    <s v="INR"/>
    <n v="735"/>
    <x v="5"/>
    <x v="6"/>
    <d v="2022-07-03T00:00:00"/>
  </r>
  <r>
    <n v="8"/>
    <s v="171-5561216-3398711"/>
    <n v="5561216"/>
    <x v="0"/>
    <x v="7"/>
    <x v="0"/>
    <x v="5"/>
    <s v="JNE3405-KR-M"/>
    <x v="0"/>
    <s v="M"/>
    <n v="1"/>
    <s v="INR"/>
    <n v="435"/>
    <x v="1"/>
    <x v="7"/>
    <d v="2022-08-08T00:00:00"/>
  </r>
  <r>
    <n v="9"/>
    <s v="408-2935263-2935550"/>
    <n v="2935263"/>
    <x v="0"/>
    <x v="8"/>
    <x v="0"/>
    <x v="2"/>
    <s v="JNE3474-KR-E-XL"/>
    <x v="0"/>
    <s v="XL"/>
    <n v="1"/>
    <s v="INR"/>
    <n v="385"/>
    <x v="5"/>
    <x v="8"/>
    <d v="2022-09-12T00:00:00"/>
  </r>
  <r>
    <n v="10"/>
    <s v="404-2648970-9042715"/>
    <n v="2648970"/>
    <x v="0"/>
    <x v="9"/>
    <x v="0"/>
    <x v="0"/>
    <s v="JNE3465-KR-L"/>
    <x v="0"/>
    <s v="L"/>
    <n v="1"/>
    <s v="INR"/>
    <n v="399"/>
    <x v="6"/>
    <x v="9"/>
    <d v="2022-10-18T00:00:00"/>
  </r>
  <r>
    <n v="11"/>
    <s v="404-2648970-9042715"/>
    <n v="2648970"/>
    <x v="0"/>
    <x v="10"/>
    <x v="0"/>
    <x v="2"/>
    <s v="JNE3795-KR-S"/>
    <x v="0"/>
    <s v="S"/>
    <n v="1"/>
    <s v="INR"/>
    <n v="499"/>
    <x v="7"/>
    <x v="10"/>
    <d v="2022-11-22T00:00:00"/>
  </r>
  <r>
    <n v="12"/>
    <s v="404-2648970-9042715"/>
    <n v="2648970"/>
    <x v="0"/>
    <x v="11"/>
    <x v="0"/>
    <x v="0"/>
    <s v="J0181-TP-M"/>
    <x v="3"/>
    <s v="M"/>
    <n v="1"/>
    <s v="INR"/>
    <n v="299"/>
    <x v="8"/>
    <x v="11"/>
    <d v="2022-12-30T00:00:00"/>
  </r>
  <r>
    <n v="13"/>
    <s v="406-0265357-4939534"/>
    <n v="265357"/>
    <x v="0"/>
    <x v="12"/>
    <x v="0"/>
    <x v="2"/>
    <s v="SET217-KR-PP-XL"/>
    <x v="1"/>
    <s v="XL"/>
    <n v="1"/>
    <s v="INR"/>
    <n v="899"/>
    <x v="9"/>
    <x v="12"/>
    <d v="2022-01-04T00:00:00"/>
  </r>
  <r>
    <n v="14"/>
    <s v="403-9268874-7296313"/>
    <n v="9268874"/>
    <x v="1"/>
    <x v="0"/>
    <x v="0"/>
    <x v="0"/>
    <s v="SET185-KR-NP-M"/>
    <x v="1"/>
    <s v="M"/>
    <n v="1"/>
    <s v="INR"/>
    <n v="799"/>
    <x v="10"/>
    <x v="1"/>
    <d v="2022-02-09T00:00:00"/>
  </r>
  <r>
    <n v="15"/>
    <s v="407-0442660-2736366"/>
    <n v="442660"/>
    <x v="0"/>
    <x v="13"/>
    <x v="0"/>
    <x v="2"/>
    <s v="SET333-KR-DPT-M"/>
    <x v="1"/>
    <s v="M"/>
    <n v="1"/>
    <s v="INR"/>
    <n v="699"/>
    <x v="11"/>
    <x v="2"/>
    <d v="2022-03-14T00:00:00"/>
  </r>
  <r>
    <n v="16"/>
    <s v="406-7482261-1657136"/>
    <n v="7482261"/>
    <x v="0"/>
    <x v="12"/>
    <x v="0"/>
    <x v="6"/>
    <s v="J0124-TP-L"/>
    <x v="3"/>
    <s v="L"/>
    <n v="1"/>
    <s v="INR"/>
    <n v="349"/>
    <x v="12"/>
    <x v="3"/>
    <d v="2022-04-19T00:00:00"/>
  </r>
  <r>
    <n v="17"/>
    <s v="407-7039962-7080347"/>
    <n v="7039962"/>
    <x v="1"/>
    <x v="14"/>
    <x v="0"/>
    <x v="4"/>
    <s v="SET304-KR-OPT-XL"/>
    <x v="1"/>
    <s v="XL"/>
    <n v="1"/>
    <s v="INR"/>
    <n v="999"/>
    <x v="13"/>
    <x v="4"/>
    <d v="2022-05-24T00:00:00"/>
  </r>
  <r>
    <n v="18"/>
    <s v="407-3422488-7373923"/>
    <n v="3422488"/>
    <x v="0"/>
    <x v="15"/>
    <x v="0"/>
    <x v="5"/>
    <s v="SET184-KR-PP-XS"/>
    <x v="1"/>
    <s v="XS"/>
    <n v="1"/>
    <s v="INR"/>
    <n v="599"/>
    <x v="14"/>
    <x v="5"/>
    <d v="2022-06-28T00:00:00"/>
  </r>
  <r>
    <n v="19"/>
    <s v="171-8974687-6745930"/>
    <n v="8974687"/>
    <x v="1"/>
    <x v="16"/>
    <x v="0"/>
    <x v="0"/>
    <s v="J0161-DR-XXL"/>
    <x v="2"/>
    <s v="XXL"/>
    <n v="1"/>
    <s v="INR"/>
    <n v="1199"/>
    <x v="15"/>
    <x v="6"/>
    <d v="2022-07-06T00:00:00"/>
  </r>
  <r>
    <n v="20"/>
    <s v="406-0244536-2177175"/>
    <n v="244536"/>
    <x v="0"/>
    <x v="17"/>
    <x v="0"/>
    <x v="2"/>
    <s v="SET233-KR-PP-M"/>
    <x v="1"/>
    <s v="M"/>
    <n v="1"/>
    <s v="INR"/>
    <n v="649"/>
    <x v="16"/>
    <x v="7"/>
    <d v="2022-08-11T00:00:00"/>
  </r>
  <r>
    <n v="21"/>
    <s v="404-4376789-3345166"/>
    <n v="4376789"/>
    <x v="0"/>
    <x v="9"/>
    <x v="0"/>
    <x v="7"/>
    <s v="J0231-SKD-XXXL"/>
    <x v="1"/>
    <s v="3XL"/>
    <n v="1"/>
    <s v="INR"/>
    <n v="1299"/>
    <x v="17"/>
    <x v="8"/>
    <d v="2022-09-13T00:00:00"/>
  </r>
  <r>
    <n v="22"/>
    <s v="404-1943310-9789160"/>
    <n v="1943310"/>
    <x v="1"/>
    <x v="18"/>
    <x v="1"/>
    <x v="0"/>
    <s v="J0339-DR-XXL"/>
    <x v="2"/>
    <s v="XXL"/>
    <n v="1"/>
    <s v="INR"/>
    <n v="1099"/>
    <x v="18"/>
    <x v="9"/>
    <d v="2022-10-17T00:00:00"/>
  </r>
  <r>
    <n v="23"/>
    <s v="403-9505905-5051559"/>
    <n v="950590"/>
    <x v="1"/>
    <x v="14"/>
    <x v="0"/>
    <x v="0"/>
    <s v="SET210-KR-PP-XXXL"/>
    <x v="1"/>
    <s v="3XL"/>
    <n v="1"/>
    <s v="INR"/>
    <n v="1399"/>
    <x v="19"/>
    <x v="10"/>
    <d v="2022-11-21T00:00:00"/>
  </r>
  <r>
    <n v="24"/>
    <s v="405-6789123-4567890"/>
    <n v="6789123"/>
    <x v="0"/>
    <x v="19"/>
    <x v="0"/>
    <x v="2"/>
    <s v="SKU2345"/>
    <x v="0"/>
    <s v="M"/>
    <n v="1"/>
    <s v="INR"/>
    <n v="599"/>
    <x v="9"/>
    <x v="11"/>
    <d v="2022-12-27T00:00:00"/>
  </r>
  <r>
    <n v="25"/>
    <s v="406-7891234-5678901"/>
    <n v="7891234"/>
    <x v="1"/>
    <x v="20"/>
    <x v="2"/>
    <x v="0"/>
    <s v="SKU3456"/>
    <x v="1"/>
    <s v="L"/>
    <n v="1"/>
    <s v="INR"/>
    <n v="899"/>
    <x v="10"/>
    <x v="12"/>
    <d v="2022-01-02T00:00:00"/>
  </r>
  <r>
    <n v="26"/>
    <s v="407-8912345-6789012"/>
    <n v="8912345"/>
    <x v="0"/>
    <x v="21"/>
    <x v="0"/>
    <x v="3"/>
    <s v="SKU4567"/>
    <x v="3"/>
    <s v="S"/>
    <n v="1"/>
    <s v="INR"/>
    <n v="399"/>
    <x v="18"/>
    <x v="1"/>
    <d v="2022-02-07T00:00:00"/>
  </r>
  <r>
    <n v="27"/>
    <s v="408-9123456-7890123"/>
    <n v="9123456"/>
    <x v="0"/>
    <x v="6"/>
    <x v="1"/>
    <x v="1"/>
    <s v="SKU5678"/>
    <x v="2"/>
    <s v="XL"/>
    <n v="1"/>
    <s v="INR"/>
    <n v="1099"/>
    <x v="17"/>
    <x v="2"/>
    <d v="2022-03-11T00:00:00"/>
  </r>
  <r>
    <n v="28"/>
    <s v="409-1234567-8901234"/>
    <n v="1234567"/>
    <x v="1"/>
    <x v="18"/>
    <x v="0"/>
    <x v="4"/>
    <s v="SKU6789"/>
    <x v="0"/>
    <s v="XXL"/>
    <n v="1"/>
    <s v="INR"/>
    <n v="749"/>
    <x v="11"/>
    <x v="3"/>
    <d v="2022-04-16T00:00:00"/>
  </r>
  <r>
    <n v="29"/>
    <s v="410-2345678-9012345"/>
    <n v="2345678"/>
    <x v="0"/>
    <x v="22"/>
    <x v="0"/>
    <x v="6"/>
    <s v="SKU7890"/>
    <x v="1"/>
    <s v="M"/>
    <n v="1"/>
    <s v="INR"/>
    <n v="1299"/>
    <x v="12"/>
    <x v="4"/>
    <d v="2022-05-23T00:00:00"/>
  </r>
  <r>
    <n v="30"/>
    <s v="411-3456789-0123456"/>
    <n v="3456789"/>
    <x v="1"/>
    <x v="23"/>
    <x v="2"/>
    <x v="2"/>
    <s v="SKU8901"/>
    <x v="3"/>
    <s v="L"/>
    <n v="1"/>
    <s v="INR"/>
    <n v="499"/>
    <x v="19"/>
    <x v="5"/>
    <d v="2022-06-29T00:00:00"/>
  </r>
  <r>
    <n v="31"/>
    <s v="412-4567890-1234567"/>
    <n v="4567890"/>
    <x v="0"/>
    <x v="24"/>
    <x v="0"/>
    <x v="0"/>
    <s v="SKU9012"/>
    <x v="0"/>
    <s v="S"/>
    <n v="1"/>
    <s v="INR"/>
    <n v="699"/>
    <x v="13"/>
    <x v="6"/>
    <d v="2022-07-05T00:00:00"/>
  </r>
  <r>
    <n v="32"/>
    <s v="413-5678901-2345678"/>
    <n v="5678901"/>
    <x v="0"/>
    <x v="25"/>
    <x v="0"/>
    <x v="3"/>
    <s v="SKU1122"/>
    <x v="1"/>
    <s v="XL"/>
    <n v="1"/>
    <s v="INR"/>
    <n v="999"/>
    <x v="2"/>
    <x v="7"/>
    <d v="2022-08-09T00:00:00"/>
  </r>
  <r>
    <n v="33"/>
    <s v="414-6789012-3456789"/>
    <n v="6789012"/>
    <x v="1"/>
    <x v="1"/>
    <x v="1"/>
    <x v="1"/>
    <s v="SKU2233"/>
    <x v="2"/>
    <s v="M"/>
    <n v="1"/>
    <s v="INR"/>
    <n v="1199"/>
    <x v="5"/>
    <x v="8"/>
    <d v="2022-09-14T00:00:00"/>
  </r>
  <r>
    <n v="34"/>
    <s v="415-7890123-4567891"/>
    <n v="7890123"/>
    <x v="0"/>
    <x v="26"/>
    <x v="0"/>
    <x v="4"/>
    <s v="SKU3344"/>
    <x v="0"/>
    <s v="L"/>
    <n v="1"/>
    <s v="INR"/>
    <n v="549"/>
    <x v="9"/>
    <x v="9"/>
    <d v="2022-10-19T00:00:00"/>
  </r>
  <r>
    <n v="35"/>
    <s v="416-8901234-5678912"/>
    <n v="8901234"/>
    <x v="1"/>
    <x v="27"/>
    <x v="0"/>
    <x v="6"/>
    <s v="SKU4455"/>
    <x v="1"/>
    <s v="S"/>
    <n v="1"/>
    <s v="INR"/>
    <n v="899"/>
    <x v="10"/>
    <x v="10"/>
    <d v="2022-11-26T00:00:00"/>
  </r>
  <r>
    <n v="36"/>
    <s v="417-9012345-6789123"/>
    <n v="9012345"/>
    <x v="0"/>
    <x v="11"/>
    <x v="2"/>
    <x v="2"/>
    <s v="SKU5566"/>
    <x v="3"/>
    <s v="XXL"/>
    <n v="1"/>
    <s v="INR"/>
    <n v="349"/>
    <x v="18"/>
    <x v="11"/>
    <d v="2022-11-27T00:00:00"/>
  </r>
  <r>
    <n v="37"/>
    <s v="418-0123456-7891234"/>
    <n v="123456"/>
    <x v="0"/>
    <x v="28"/>
    <x v="0"/>
    <x v="0"/>
    <s v="SKU6677"/>
    <x v="0"/>
    <s v="M"/>
    <n v="1"/>
    <s v="INR"/>
    <n v="799"/>
    <x v="17"/>
    <x v="12"/>
    <d v="2022-11-28T00:00:00"/>
  </r>
  <r>
    <n v="38"/>
    <s v="419-1234567-8902345"/>
    <n v="1234567"/>
    <x v="1"/>
    <x v="29"/>
    <x v="0"/>
    <x v="3"/>
    <s v="SKU7788"/>
    <x v="1"/>
    <s v="L"/>
    <n v="1"/>
    <s v="INR"/>
    <n v="1099"/>
    <x v="11"/>
    <x v="1"/>
    <d v="2022-11-29T00:00:00"/>
  </r>
  <r>
    <n v="39"/>
    <s v="420-2345678-9013456"/>
    <n v="2345678"/>
    <x v="0"/>
    <x v="30"/>
    <x v="1"/>
    <x v="1"/>
    <s v="SKU8899"/>
    <x v="3"/>
    <s v="S"/>
    <n v="1"/>
    <s v="INR"/>
    <n v="399"/>
    <x v="12"/>
    <x v="2"/>
    <d v="2022-11-30T00:00:00"/>
  </r>
  <r>
    <n v="40"/>
    <s v="421-3456789-0124567"/>
    <n v="3456789"/>
    <x v="0"/>
    <x v="31"/>
    <x v="0"/>
    <x v="4"/>
    <s v="SKU9900"/>
    <x v="0"/>
    <s v="XL"/>
    <n v="1"/>
    <s v="INR"/>
    <n v="699"/>
    <x v="19"/>
    <x v="11"/>
    <d v="2022-12-03T00:00:00"/>
  </r>
  <r>
    <n v="41"/>
    <s v="422-4567890-1235678"/>
    <n v="4567890"/>
    <x v="1"/>
    <x v="32"/>
    <x v="0"/>
    <x v="2"/>
    <s v="SKU1021"/>
    <x v="1"/>
    <s v="M"/>
    <n v="1"/>
    <s v="INR"/>
    <n v="899"/>
    <x v="9"/>
    <x v="12"/>
    <d v="2022-01-08T00:00:00"/>
  </r>
  <r>
    <n v="42"/>
    <s v="423-5678901-2346789"/>
    <n v="5678901"/>
    <x v="0"/>
    <x v="33"/>
    <x v="2"/>
    <x v="0"/>
    <s v="SKU1132"/>
    <x v="0"/>
    <s v="S"/>
    <n v="1"/>
    <s v="INR"/>
    <n v="599"/>
    <x v="10"/>
    <x v="1"/>
    <d v="2022-02-12T00:00:00"/>
  </r>
  <r>
    <n v="43"/>
    <s v="424-6789012-3457890"/>
    <n v="6789012"/>
    <x v="0"/>
    <x v="34"/>
    <x v="0"/>
    <x v="3"/>
    <s v="SKU1243"/>
    <x v="3"/>
    <s v="L"/>
    <n v="1"/>
    <s v="INR"/>
    <n v="399"/>
    <x v="18"/>
    <x v="2"/>
    <d v="2022-03-18T00:00:00"/>
  </r>
  <r>
    <n v="44"/>
    <s v="425-7890123-4568901"/>
    <n v="7890123"/>
    <x v="1"/>
    <x v="15"/>
    <x v="1"/>
    <x v="1"/>
    <s v="SKU1354"/>
    <x v="2"/>
    <s v="XL"/>
    <n v="1"/>
    <s v="INR"/>
    <n v="1299"/>
    <x v="17"/>
    <x v="3"/>
    <d v="2022-04-22T00:00:00"/>
  </r>
  <r>
    <n v="45"/>
    <s v="426-8901234-5679012"/>
    <n v="8901234"/>
    <x v="0"/>
    <x v="1"/>
    <x v="0"/>
    <x v="4"/>
    <s v="SKU1465"/>
    <x v="0"/>
    <s v="M"/>
    <n v="1"/>
    <s v="INR"/>
    <n v="749"/>
    <x v="11"/>
    <x v="4"/>
    <d v="2022-05-27T00:00:00"/>
  </r>
  <r>
    <n v="46"/>
    <s v="427-9012345-6780123"/>
    <n v="9012345"/>
    <x v="0"/>
    <x v="29"/>
    <x v="0"/>
    <x v="6"/>
    <s v="SKU1576"/>
    <x v="1"/>
    <s v="XXL"/>
    <n v="1"/>
    <s v="INR"/>
    <n v="1199"/>
    <x v="12"/>
    <x v="5"/>
    <d v="2022-06-30T00:00:00"/>
  </r>
  <r>
    <n v="47"/>
    <s v="428-0123456-7891235"/>
    <n v="123456"/>
    <x v="1"/>
    <x v="20"/>
    <x v="2"/>
    <x v="2"/>
    <s v="SKU1687"/>
    <x v="3"/>
    <s v="M"/>
    <n v="1"/>
    <s v="INR"/>
    <n v="499"/>
    <x v="19"/>
    <x v="6"/>
    <d v="2022-07-04T00:00:00"/>
  </r>
  <r>
    <n v="48"/>
    <s v="429-1234567-8902346"/>
    <n v="1234567"/>
    <x v="0"/>
    <x v="35"/>
    <x v="0"/>
    <x v="0"/>
    <s v="SKU1798"/>
    <x v="0"/>
    <s v="S"/>
    <n v="1"/>
    <s v="INR"/>
    <n v="699"/>
    <x v="13"/>
    <x v="7"/>
    <d v="2022-08-10T00:00:00"/>
  </r>
  <r>
    <n v="49"/>
    <s v="430-2345678-9013457"/>
    <n v="2345678"/>
    <x v="0"/>
    <x v="18"/>
    <x v="0"/>
    <x v="3"/>
    <s v="SKU1809"/>
    <x v="1"/>
    <s v="L"/>
    <n v="1"/>
    <s v="INR"/>
    <n v="999"/>
    <x v="2"/>
    <x v="8"/>
    <d v="2022-09-15T00:00:00"/>
  </r>
  <r>
    <n v="50"/>
    <s v="431-3456789-0124568"/>
    <n v="3456789"/>
    <x v="1"/>
    <x v="36"/>
    <x v="1"/>
    <x v="1"/>
    <s v="SKU1910"/>
    <x v="2"/>
    <s v="XL"/>
    <n v="1"/>
    <s v="INR"/>
    <n v="1099"/>
    <x v="5"/>
    <x v="9"/>
    <d v="2022-10-21T00:00:00"/>
  </r>
  <r>
    <n v="51"/>
    <s v="432-4567890-1235679"/>
    <n v="4567890"/>
    <x v="0"/>
    <x v="22"/>
    <x v="0"/>
    <x v="4"/>
    <s v="SKU2021"/>
    <x v="0"/>
    <s v="M"/>
    <n v="1"/>
    <s v="INR"/>
    <n v="549"/>
    <x v="9"/>
    <x v="10"/>
    <d v="2022-11-28T00:00:00"/>
  </r>
  <r>
    <n v="52"/>
    <s v="433-5678901-2346780"/>
    <n v="5678901"/>
    <x v="1"/>
    <x v="11"/>
    <x v="0"/>
    <x v="6"/>
    <s v="SKU2132"/>
    <x v="1"/>
    <s v="L"/>
    <n v="1"/>
    <s v="INR"/>
    <n v="899"/>
    <x v="10"/>
    <x v="11"/>
    <d v="2022-12-02T00:00:00"/>
  </r>
  <r>
    <n v="53"/>
    <s v="434-6789012-3457891"/>
    <n v="6789012"/>
    <x v="0"/>
    <x v="24"/>
    <x v="2"/>
    <x v="2"/>
    <s v="SKU2243"/>
    <x v="3"/>
    <s v="S"/>
    <n v="1"/>
    <s v="INR"/>
    <n v="349"/>
    <x v="18"/>
    <x v="12"/>
    <d v="2022-01-06T00:00:00"/>
  </r>
  <r>
    <n v="54"/>
    <s v="435-7890123-4568902"/>
    <n v="7890123"/>
    <x v="0"/>
    <x v="14"/>
    <x v="0"/>
    <x v="0"/>
    <s v="SKU2354"/>
    <x v="0"/>
    <s v="XL"/>
    <n v="1"/>
    <s v="INR"/>
    <n v="799"/>
    <x v="17"/>
    <x v="1"/>
    <d v="2022-02-11T00:00:00"/>
  </r>
  <r>
    <n v="55"/>
    <s v="436-8901234-5679013"/>
    <n v="8901234"/>
    <x v="1"/>
    <x v="21"/>
    <x v="0"/>
    <x v="3"/>
    <s v="SKU2465"/>
    <x v="1"/>
    <s v="M"/>
    <n v="1"/>
    <s v="INR"/>
    <n v="1099"/>
    <x v="11"/>
    <x v="2"/>
    <d v="2022-03-17T00:00:00"/>
  </r>
  <r>
    <n v="56"/>
    <s v="437-9012345-6780124"/>
    <n v="9012345"/>
    <x v="0"/>
    <x v="16"/>
    <x v="1"/>
    <x v="1"/>
    <s v="SKU2576"/>
    <x v="3"/>
    <s v="L"/>
    <n v="1"/>
    <s v="INR"/>
    <n v="399"/>
    <x v="12"/>
    <x v="3"/>
    <d v="2022-04-24T00:00:00"/>
  </r>
  <r>
    <n v="57"/>
    <s v="438-0123456-7891236"/>
    <n v="123456"/>
    <x v="0"/>
    <x v="27"/>
    <x v="0"/>
    <x v="4"/>
    <s v="SKU2687"/>
    <x v="0"/>
    <s v="S"/>
    <n v="1"/>
    <s v="INR"/>
    <n v="699"/>
    <x v="19"/>
    <x v="4"/>
    <d v="2022-05-29T00:00:00"/>
  </r>
  <r>
    <n v="58"/>
    <s v="439-1234567-8902347"/>
    <n v="1234567"/>
    <x v="1"/>
    <x v="28"/>
    <x v="0"/>
    <x v="6"/>
    <s v="SKU2798"/>
    <x v="1"/>
    <s v="XXL"/>
    <n v="1"/>
    <s v="INR"/>
    <n v="999"/>
    <x v="13"/>
    <x v="5"/>
    <d v="2022-06-01T00:00:00"/>
  </r>
  <r>
    <n v="59"/>
    <s v="440-2345678-9013458"/>
    <n v="2345678"/>
    <x v="0"/>
    <x v="25"/>
    <x v="2"/>
    <x v="2"/>
    <s v="SKU2809"/>
    <x v="3"/>
    <s v="M"/>
    <n v="1"/>
    <s v="INR"/>
    <n v="299"/>
    <x v="2"/>
    <x v="6"/>
    <d v="2022-07-07T00:00:00"/>
  </r>
  <r>
    <n v="60"/>
    <s v="441-3456789-0124569"/>
    <n v="3456789"/>
    <x v="0"/>
    <x v="37"/>
    <x v="0"/>
    <x v="0"/>
    <s v="SKU2910"/>
    <x v="0"/>
    <s v="L"/>
    <n v="1"/>
    <s v="INR"/>
    <n v="899"/>
    <x v="5"/>
    <x v="13"/>
    <m/>
  </r>
</pivotCacheRecords>
</file>

<file path=xl/pivotCache/pivotCacheRecords2.xml><?xml version="1.0" encoding="utf-8"?>
<pivotCacheRecords xmlns="http://schemas.openxmlformats.org/spreadsheetml/2006/main" xmlns:r="http://schemas.openxmlformats.org/officeDocument/2006/relationships" count="60">
  <r>
    <n v="1"/>
    <s v="171-1029312-3038738"/>
    <n v="1029312"/>
    <x v="0"/>
    <n v="44"/>
    <s v="Delivered"/>
    <s v="Myntra"/>
    <s v="JNE1233-BLUE-KR-031-XXL"/>
    <s v="Kurta"/>
    <s v="XXL"/>
    <n v="1"/>
    <s v="INR"/>
    <n v="376"/>
    <s v="MOHALI"/>
    <s v="anuary"/>
    <d v="2022-01-01T00:00:00"/>
    <x v="0"/>
  </r>
  <r>
    <n v="2"/>
    <s v="405-2183842-2225946"/>
    <n v="2183842"/>
    <x v="0"/>
    <n v="29"/>
    <s v="Delivered"/>
    <s v="Ajio"/>
    <s v="SET414-KR-NP-L"/>
    <s v="Set"/>
    <s v="L"/>
    <n v="1"/>
    <s v="INR"/>
    <n v="1449"/>
    <s v="GURUGRAM"/>
    <s v="February"/>
    <d v="2022-02-05T00:00:00"/>
    <x v="1"/>
  </r>
  <r>
    <n v="3"/>
    <s v="171-1641533-8921966"/>
    <n v="1641533"/>
    <x v="0"/>
    <n v="67"/>
    <s v="Delivered"/>
    <s v="Myntra"/>
    <s v="SET261-KR-PP-S"/>
    <s v="Set"/>
    <s v="S"/>
    <n v="1"/>
    <s v="INR"/>
    <n v="453"/>
    <s v="KOLKATA"/>
    <s v="March"/>
    <d v="2022-03-10T00:00:00"/>
    <x v="2"/>
  </r>
  <r>
    <n v="4"/>
    <s v="404-7490807-6300351"/>
    <n v="7490807"/>
    <x v="0"/>
    <n v="20"/>
    <s v="Delivered"/>
    <s v="Amazon"/>
    <s v="SET110-KR-PP-M"/>
    <s v="Set"/>
    <s v="M"/>
    <n v="1"/>
    <s v="INR"/>
    <n v="729"/>
    <s v="THANJAVUR"/>
    <s v="April"/>
    <d v="2022-04-15T00:00:00"/>
    <x v="0"/>
  </r>
  <r>
    <n v="5"/>
    <s v="403-9293516-4577154"/>
    <n v="9293516"/>
    <x v="0"/>
    <n v="62"/>
    <s v="Delivered"/>
    <s v="Myntra"/>
    <s v="JNE2294-KR-A-XXL"/>
    <s v="Kurta"/>
    <s v="XXL"/>
    <n v="1"/>
    <s v="INR"/>
    <n v="544"/>
    <s v="GURUGRAM"/>
    <s v="May"/>
    <d v="2022-05-20T00:00:00"/>
    <x v="1"/>
  </r>
  <r>
    <n v="6"/>
    <s v="407-1298130-0368305"/>
    <n v="1298130"/>
    <x v="1"/>
    <n v="49"/>
    <s v="Delivered"/>
    <s v="Flipkart"/>
    <s v="JNE3797-KR-XXL"/>
    <s v="Western Dress"/>
    <s v="XXL"/>
    <n v="1"/>
    <s v="INR"/>
    <n v="735"/>
    <s v="KUPWARA"/>
    <s v="June"/>
    <d v="2022-06-25T00:00:00"/>
    <x v="2"/>
  </r>
  <r>
    <n v="7"/>
    <s v="407-1298130-0368305"/>
    <n v="1298130"/>
    <x v="0"/>
    <n v="23"/>
    <s v="Delivered"/>
    <s v="Meesho"/>
    <s v="JNE3801-KR-XXL"/>
    <s v="Kurta"/>
    <s v="XXL"/>
    <n v="1"/>
    <s v="INR"/>
    <n v="735"/>
    <s v="BENGALURU"/>
    <s v="July"/>
    <d v="2022-07-03T00:00:00"/>
    <x v="0"/>
  </r>
  <r>
    <n v="8"/>
    <s v="171-5561216-3398711"/>
    <n v="5561216"/>
    <x v="0"/>
    <n v="70"/>
    <s v="Delivered"/>
    <s v="Others"/>
    <s v="JNE3405-KR-M"/>
    <s v="Kurta"/>
    <s v="M"/>
    <n v="1"/>
    <s v="INR"/>
    <n v="435"/>
    <s v="GURUGRAM"/>
    <s v="August"/>
    <d v="2022-08-08T00:00:00"/>
    <x v="1"/>
  </r>
  <r>
    <n v="9"/>
    <s v="408-2935263-2935550"/>
    <n v="2935263"/>
    <x v="0"/>
    <n v="75"/>
    <s v="Delivered"/>
    <s v="Amazon"/>
    <s v="JNE3474-KR-E-XL"/>
    <s v="Kurta"/>
    <s v="XL"/>
    <n v="1"/>
    <s v="INR"/>
    <n v="385"/>
    <s v="BENGALURU"/>
    <s v="September"/>
    <d v="2022-09-12T00:00:00"/>
    <x v="2"/>
  </r>
  <r>
    <n v="10"/>
    <s v="404-2648970-9042715"/>
    <n v="2648970"/>
    <x v="0"/>
    <n v="43"/>
    <s v="Delivered"/>
    <s v="Myntra"/>
    <s v="JNE3465-KR-L"/>
    <s v="Kurta"/>
    <s v="L"/>
    <n v="1"/>
    <s v="INR"/>
    <n v="399"/>
    <s v="VIJAYAWADA"/>
    <s v="October"/>
    <d v="2022-10-18T00:00:00"/>
    <x v="0"/>
  </r>
  <r>
    <n v="11"/>
    <s v="404-2648970-9042715"/>
    <n v="2648970"/>
    <x v="0"/>
    <n v="76"/>
    <s v="Delivered"/>
    <s v="Amazon"/>
    <s v="JNE3795-KR-S"/>
    <s v="Kurta"/>
    <s v="S"/>
    <n v="1"/>
    <s v="INR"/>
    <n v="499"/>
    <s v="VISAKHAPATNAM"/>
    <s v="November"/>
    <d v="2022-11-22T00:00:00"/>
    <x v="1"/>
  </r>
  <r>
    <n v="12"/>
    <s v="404-2648970-9042715"/>
    <n v="2648970"/>
    <x v="0"/>
    <n v="45"/>
    <s v="Delivered"/>
    <s v="Myntra"/>
    <s v="J0181-TP-M"/>
    <s v="Top"/>
    <s v="M"/>
    <n v="1"/>
    <s v="INR"/>
    <n v="299"/>
    <s v="HYDERABAD"/>
    <s v="December"/>
    <d v="2022-12-30T00:00:00"/>
    <x v="2"/>
  </r>
  <r>
    <n v="13"/>
    <s v="406-0265357-4939534"/>
    <n v="265357"/>
    <x v="0"/>
    <n v="18"/>
    <s v="Delivered"/>
    <s v="Amazon"/>
    <s v="SET217-KR-PP-XL"/>
    <s v="Set"/>
    <s v="XL"/>
    <n v="1"/>
    <s v="INR"/>
    <n v="899"/>
    <s v="DELHI"/>
    <s v="January"/>
    <d v="2022-01-04T00:00:00"/>
    <x v="0"/>
  </r>
  <r>
    <n v="14"/>
    <s v="403-9268874-7296313"/>
    <n v="9268874"/>
    <x v="1"/>
    <n v="44"/>
    <s v="Delivered"/>
    <s v="Myntra"/>
    <s v="SET185-KR-NP-M"/>
    <s v="Set"/>
    <s v="M"/>
    <n v="1"/>
    <s v="INR"/>
    <n v="799"/>
    <s v="MUMBAI"/>
    <s v="February"/>
    <d v="2022-02-09T00:00:00"/>
    <x v="1"/>
  </r>
  <r>
    <n v="15"/>
    <s v="407-0442660-2736366"/>
    <n v="442660"/>
    <x v="0"/>
    <n v="52"/>
    <s v="Delivered"/>
    <s v="Amazon"/>
    <s v="SET333-KR-DPT-M"/>
    <s v="Set"/>
    <s v="M"/>
    <n v="1"/>
    <s v="INR"/>
    <n v="699"/>
    <s v="PUNE"/>
    <s v="March"/>
    <d v="2022-03-14T00:00:00"/>
    <x v="2"/>
  </r>
  <r>
    <n v="16"/>
    <s v="406-7482261-1657136"/>
    <n v="7482261"/>
    <x v="0"/>
    <n v="18"/>
    <s v="Delivered"/>
    <s v="Nykaa"/>
    <s v="J0124-TP-L"/>
    <s v="Top"/>
    <s v="L"/>
    <n v="1"/>
    <s v="INR"/>
    <n v="349"/>
    <s v="JAIPUR"/>
    <s v="April"/>
    <d v="2022-04-19T00:00:00"/>
    <x v="0"/>
  </r>
  <r>
    <n v="17"/>
    <s v="407-7039962-7080347"/>
    <n v="7039962"/>
    <x v="1"/>
    <n v="30"/>
    <s v="Delivered"/>
    <s v="Meesho"/>
    <s v="SET304-KR-OPT-XL"/>
    <s v="Set"/>
    <s v="XL"/>
    <n v="1"/>
    <s v="INR"/>
    <n v="999"/>
    <s v="AHMEDABAD"/>
    <s v="May"/>
    <d v="2022-05-24T00:00:00"/>
    <x v="1"/>
  </r>
  <r>
    <n v="18"/>
    <s v="407-3422488-7373923"/>
    <n v="3422488"/>
    <x v="0"/>
    <n v="48"/>
    <s v="Delivered"/>
    <s v="Others"/>
    <s v="SET184-KR-PP-XS"/>
    <s v="Set"/>
    <s v="XS"/>
    <n v="1"/>
    <s v="INR"/>
    <n v="599"/>
    <s v="LUCKNOW"/>
    <s v="June"/>
    <d v="2022-06-28T00:00:00"/>
    <x v="2"/>
  </r>
  <r>
    <n v="19"/>
    <s v="171-8974687-6745930"/>
    <n v="8974687"/>
    <x v="1"/>
    <n v="24"/>
    <s v="Delivered"/>
    <s v="Myntra"/>
    <s v="J0161-DR-XXL"/>
    <s v="Western Dress"/>
    <s v="XXL"/>
    <n v="1"/>
    <s v="INR"/>
    <n v="1199"/>
    <s v="CHANDIGARH"/>
    <s v="July"/>
    <d v="2022-07-06T00:00:00"/>
    <x v="0"/>
  </r>
  <r>
    <n v="20"/>
    <s v="406-0244536-2177175"/>
    <n v="244536"/>
    <x v="0"/>
    <n v="46"/>
    <s v="Delivered"/>
    <s v="Amazon"/>
    <s v="SET233-KR-PP-M"/>
    <s v="Set"/>
    <s v="M"/>
    <n v="1"/>
    <s v="INR"/>
    <n v="649"/>
    <s v="NAGPUR"/>
    <s v="August"/>
    <d v="2022-08-11T00:00:00"/>
    <x v="1"/>
  </r>
  <r>
    <n v="21"/>
    <s v="404-4376789-3345166"/>
    <n v="4376789"/>
    <x v="0"/>
    <n v="43"/>
    <s v="Delivered"/>
    <s v="Nalli"/>
    <s v="J0231-SKD-XXXL"/>
    <s v="Set"/>
    <s v="3XL"/>
    <n v="1"/>
    <s v="INR"/>
    <n v="1299"/>
    <s v="INDORE"/>
    <s v="September"/>
    <d v="2022-09-13T00:00:00"/>
    <x v="2"/>
  </r>
  <r>
    <n v="22"/>
    <s v="404-1943310-9789160"/>
    <n v="1943310"/>
    <x v="1"/>
    <n v="31"/>
    <s v="Refunded"/>
    <s v="Myntra"/>
    <s v="J0339-DR-XXL"/>
    <s v="Western Dress"/>
    <s v="XXL"/>
    <n v="1"/>
    <s v="INR"/>
    <n v="1099"/>
    <s v="BHOPAL"/>
    <s v="October"/>
    <d v="2022-10-17T00:00:00"/>
    <x v="0"/>
  </r>
  <r>
    <n v="23"/>
    <s v="403-9505905-5051559"/>
    <n v="950590"/>
    <x v="1"/>
    <n v="30"/>
    <s v="Delivered"/>
    <s v="Myntra"/>
    <s v="SET210-KR-PP-XXXL"/>
    <s v="Set"/>
    <s v="3XL"/>
    <n v="1"/>
    <s v="INR"/>
    <n v="1399"/>
    <s v="SURAT"/>
    <s v="November"/>
    <d v="2022-11-21T00:00:00"/>
    <x v="1"/>
  </r>
  <r>
    <n v="24"/>
    <s v="405-6789123-4567890"/>
    <n v="6789123"/>
    <x v="0"/>
    <n v="28"/>
    <s v="Delivered"/>
    <s v="Amazon"/>
    <s v="SKU2345"/>
    <s v="Kurta"/>
    <s v="M"/>
    <n v="1"/>
    <s v="INR"/>
    <n v="599"/>
    <s v="DELHI"/>
    <s v="December"/>
    <d v="2022-12-27T00:00:00"/>
    <x v="2"/>
  </r>
  <r>
    <n v="25"/>
    <s v="406-7891234-5678901"/>
    <n v="7891234"/>
    <x v="1"/>
    <n v="35"/>
    <s v="Cancelled"/>
    <s v="Myntra"/>
    <s v="SKU3456"/>
    <s v="Set"/>
    <s v="L"/>
    <n v="1"/>
    <s v="INR"/>
    <n v="899"/>
    <s v="MUMBAI"/>
    <s v="January"/>
    <d v="2022-01-02T00:00:00"/>
    <x v="0"/>
  </r>
  <r>
    <n v="26"/>
    <s v="407-8912345-6789012"/>
    <n v="8912345"/>
    <x v="0"/>
    <n v="42"/>
    <s v="Delivered"/>
    <s v="Flipkart"/>
    <s v="SKU4567"/>
    <s v="Top"/>
    <s v="S"/>
    <n v="1"/>
    <s v="INR"/>
    <n v="399"/>
    <s v="BHOPAL"/>
    <s v="February"/>
    <d v="2022-02-07T00:00:00"/>
    <x v="1"/>
  </r>
  <r>
    <n v="27"/>
    <s v="408-9123456-7890123"/>
    <n v="9123456"/>
    <x v="0"/>
    <n v="23"/>
    <s v="Refunded"/>
    <s v="Ajio"/>
    <s v="SKU5678"/>
    <s v="Western Dress"/>
    <s v="XL"/>
    <n v="1"/>
    <s v="INR"/>
    <n v="1099"/>
    <s v="INDORE"/>
    <s v="March"/>
    <d v="2022-03-11T00:00:00"/>
    <x v="2"/>
  </r>
  <r>
    <n v="28"/>
    <s v="409-1234567-8901234"/>
    <n v="1234567"/>
    <x v="1"/>
    <n v="31"/>
    <s v="Delivered"/>
    <s v="Meesho"/>
    <s v="SKU6789"/>
    <s v="Kurta"/>
    <s v="XXL"/>
    <n v="1"/>
    <s v="INR"/>
    <n v="749"/>
    <s v="PUNE"/>
    <s v="April"/>
    <d v="2022-04-16T00:00:00"/>
    <x v="0"/>
  </r>
  <r>
    <n v="29"/>
    <s v="410-2345678-9012345"/>
    <n v="2345678"/>
    <x v="0"/>
    <n v="27"/>
    <s v="Delivered"/>
    <s v="Nykaa"/>
    <s v="SKU7890"/>
    <s v="Set"/>
    <s v="M"/>
    <n v="1"/>
    <s v="INR"/>
    <n v="1299"/>
    <s v="JAIPUR"/>
    <s v="May"/>
    <d v="2022-05-23T00:00:00"/>
    <x v="1"/>
  </r>
  <r>
    <n v="30"/>
    <s v="411-3456789-0123456"/>
    <n v="3456789"/>
    <x v="1"/>
    <n v="40"/>
    <s v="Cancelled"/>
    <s v="Amazon"/>
    <s v="SKU8901"/>
    <s v="Top"/>
    <s v="L"/>
    <n v="1"/>
    <s v="INR"/>
    <n v="499"/>
    <s v="SURAT"/>
    <s v="June"/>
    <d v="2022-06-29T00:00:00"/>
    <x v="2"/>
  </r>
  <r>
    <n v="31"/>
    <s v="412-4567890-1234567"/>
    <n v="4567890"/>
    <x v="0"/>
    <n v="36"/>
    <s v="Delivered"/>
    <s v="Myntra"/>
    <s v="SKU9012"/>
    <s v="Kurta"/>
    <s v="S"/>
    <n v="1"/>
    <s v="INR"/>
    <n v="699"/>
    <s v="AHMEDABAD"/>
    <s v="July"/>
    <d v="2022-07-05T00:00:00"/>
    <x v="0"/>
  </r>
  <r>
    <n v="32"/>
    <s v="413-5678901-2345678"/>
    <n v="5678901"/>
    <x v="0"/>
    <n v="21"/>
    <s v="Delivered"/>
    <s v="Flipkart"/>
    <s v="SKU1122"/>
    <s v="Set"/>
    <s v="XL"/>
    <n v="1"/>
    <s v="INR"/>
    <n v="999"/>
    <s v="KOLKATA"/>
    <s v="August"/>
    <d v="2022-08-09T00:00:00"/>
    <x v="1"/>
  </r>
  <r>
    <n v="33"/>
    <s v="414-6789012-3456789"/>
    <n v="6789012"/>
    <x v="1"/>
    <n v="29"/>
    <s v="Refunded"/>
    <s v="Ajio"/>
    <s v="SKU2233"/>
    <s v="Western Dress"/>
    <s v="M"/>
    <n v="1"/>
    <s v="INR"/>
    <n v="1199"/>
    <s v="BENGALURU"/>
    <s v="September"/>
    <d v="2022-09-14T00:00:00"/>
    <x v="2"/>
  </r>
  <r>
    <n v="34"/>
    <s v="415-7890123-4567891"/>
    <n v="7890123"/>
    <x v="0"/>
    <n v="50"/>
    <s v="Delivered"/>
    <s v="Meesho"/>
    <s v="SKU3344"/>
    <s v="Kurta"/>
    <s v="L"/>
    <n v="1"/>
    <s v="INR"/>
    <n v="549"/>
    <s v="DELHI"/>
    <s v="October"/>
    <d v="2022-10-19T00:00:00"/>
    <x v="0"/>
  </r>
  <r>
    <n v="35"/>
    <s v="416-8901234-5678912"/>
    <n v="8901234"/>
    <x v="1"/>
    <n v="33"/>
    <s v="Delivered"/>
    <s v="Nykaa"/>
    <s v="SKU4455"/>
    <s v="Set"/>
    <s v="S"/>
    <n v="1"/>
    <s v="INR"/>
    <n v="899"/>
    <s v="MUMBAI"/>
    <s v="November"/>
    <d v="2022-11-26T00:00:00"/>
    <x v="1"/>
  </r>
  <r>
    <n v="36"/>
    <s v="417-9012345-6789123"/>
    <n v="9012345"/>
    <x v="0"/>
    <n v="45"/>
    <s v="Cancelled"/>
    <s v="Amazon"/>
    <s v="SKU5566"/>
    <s v="Top"/>
    <s v="XXL"/>
    <n v="1"/>
    <s v="INR"/>
    <n v="349"/>
    <s v="BHOPAL"/>
    <s v="December"/>
    <d v="2022-11-27T00:00:00"/>
    <x v="2"/>
  </r>
  <r>
    <n v="37"/>
    <s v="418-0123456-7891234"/>
    <n v="123456"/>
    <x v="0"/>
    <n v="38"/>
    <s v="Delivered"/>
    <s v="Myntra"/>
    <s v="SKU6677"/>
    <s v="Kurta"/>
    <s v="M"/>
    <n v="1"/>
    <s v="INR"/>
    <n v="799"/>
    <s v="INDORE"/>
    <s v="January"/>
    <d v="2022-11-28T00:00:00"/>
    <x v="0"/>
  </r>
  <r>
    <n v="38"/>
    <s v="419-1234567-8902345"/>
    <n v="1234567"/>
    <x v="1"/>
    <n v="41"/>
    <s v="Delivered"/>
    <s v="Flipkart"/>
    <s v="SKU7788"/>
    <s v="Set"/>
    <s v="L"/>
    <n v="1"/>
    <s v="INR"/>
    <n v="1099"/>
    <s v="PUNE"/>
    <s v="February"/>
    <d v="2022-11-29T00:00:00"/>
    <x v="1"/>
  </r>
  <r>
    <n v="39"/>
    <s v="420-2345678-9013456"/>
    <n v="2345678"/>
    <x v="0"/>
    <n v="26"/>
    <s v="Refunded"/>
    <s v="Ajio"/>
    <s v="SKU8899"/>
    <s v="Top"/>
    <s v="S"/>
    <n v="1"/>
    <s v="INR"/>
    <n v="399"/>
    <s v="JAIPUR"/>
    <s v="March"/>
    <d v="2022-11-30T00:00:00"/>
    <x v="2"/>
  </r>
  <r>
    <n v="40"/>
    <s v="421-3456789-0124567"/>
    <n v="3456789"/>
    <x v="0"/>
    <n v="34"/>
    <s v="Delivered"/>
    <s v="Meesho"/>
    <s v="SKU9900"/>
    <s v="Kurta"/>
    <s v="XL"/>
    <n v="1"/>
    <s v="INR"/>
    <n v="699"/>
    <s v="SURAT"/>
    <s v="December"/>
    <d v="2022-12-03T00:00:00"/>
    <x v="0"/>
  </r>
  <r>
    <n v="41"/>
    <s v="422-4567890-1235678"/>
    <n v="4567890"/>
    <x v="1"/>
    <n v="37"/>
    <s v="Delivered"/>
    <s v="Amazon"/>
    <s v="SKU1021"/>
    <s v="Set"/>
    <s v="M"/>
    <n v="1"/>
    <s v="INR"/>
    <n v="899"/>
    <s v="DELHI"/>
    <s v="January"/>
    <d v="2022-01-08T00:00:00"/>
    <x v="1"/>
  </r>
  <r>
    <n v="42"/>
    <s v="423-5678901-2346789"/>
    <n v="5678901"/>
    <x v="0"/>
    <n v="25"/>
    <s v="Cancelled"/>
    <s v="Myntra"/>
    <s v="SKU1132"/>
    <s v="Kurta"/>
    <s v="S"/>
    <n v="1"/>
    <s v="INR"/>
    <n v="599"/>
    <s v="MUMBAI"/>
    <s v="February"/>
    <d v="2022-02-12T00:00:00"/>
    <x v="2"/>
  </r>
  <r>
    <n v="43"/>
    <s v="424-6789012-3457890"/>
    <n v="6789012"/>
    <x v="0"/>
    <n v="32"/>
    <s v="Delivered"/>
    <s v="Flipkart"/>
    <s v="SKU1243"/>
    <s v="Top"/>
    <s v="L"/>
    <n v="1"/>
    <s v="INR"/>
    <n v="399"/>
    <s v="BHOPAL"/>
    <s v="March"/>
    <d v="2022-03-18T00:00:00"/>
    <x v="0"/>
  </r>
  <r>
    <n v="44"/>
    <s v="425-7890123-4568901"/>
    <n v="7890123"/>
    <x v="1"/>
    <n v="48"/>
    <s v="Refunded"/>
    <s v="Ajio"/>
    <s v="SKU1354"/>
    <s v="Western Dress"/>
    <s v="XL"/>
    <n v="1"/>
    <s v="INR"/>
    <n v="1299"/>
    <s v="INDORE"/>
    <s v="April"/>
    <d v="2022-04-22T00:00:00"/>
    <x v="1"/>
  </r>
  <r>
    <n v="45"/>
    <s v="426-8901234-5679012"/>
    <n v="8901234"/>
    <x v="0"/>
    <n v="29"/>
    <s v="Delivered"/>
    <s v="Meesho"/>
    <s v="SKU1465"/>
    <s v="Kurta"/>
    <s v="M"/>
    <n v="1"/>
    <s v="INR"/>
    <n v="749"/>
    <s v="PUNE"/>
    <s v="May"/>
    <d v="2022-05-27T00:00:00"/>
    <x v="2"/>
  </r>
  <r>
    <n v="46"/>
    <s v="427-9012345-6780123"/>
    <n v="9012345"/>
    <x v="0"/>
    <n v="41"/>
    <s v="Delivered"/>
    <s v="Nykaa"/>
    <s v="SKU1576"/>
    <s v="Set"/>
    <s v="XXL"/>
    <n v="1"/>
    <s v="INR"/>
    <n v="1199"/>
    <s v="JAIPUR"/>
    <s v="June"/>
    <d v="2022-06-30T00:00:00"/>
    <x v="0"/>
  </r>
  <r>
    <n v="47"/>
    <s v="428-0123456-7891235"/>
    <n v="123456"/>
    <x v="1"/>
    <n v="35"/>
    <s v="Cancelled"/>
    <s v="Amazon"/>
    <s v="SKU1687"/>
    <s v="Top"/>
    <s v="M"/>
    <n v="1"/>
    <s v="INR"/>
    <n v="499"/>
    <s v="SURAT"/>
    <s v="July"/>
    <d v="2022-07-04T00:00:00"/>
    <x v="1"/>
  </r>
  <r>
    <n v="48"/>
    <s v="429-1234567-8902346"/>
    <n v="1234567"/>
    <x v="0"/>
    <n v="22"/>
    <s v="Delivered"/>
    <s v="Myntra"/>
    <s v="SKU1798"/>
    <s v="Kurta"/>
    <s v="S"/>
    <n v="1"/>
    <s v="INR"/>
    <n v="699"/>
    <s v="AHMEDABAD"/>
    <s v="August"/>
    <d v="2022-08-10T00:00:00"/>
    <x v="2"/>
  </r>
  <r>
    <n v="49"/>
    <s v="430-2345678-9013457"/>
    <n v="2345678"/>
    <x v="0"/>
    <n v="31"/>
    <s v="Delivered"/>
    <s v="Flipkart"/>
    <s v="SKU1809"/>
    <s v="Set"/>
    <s v="L"/>
    <n v="1"/>
    <s v="INR"/>
    <n v="999"/>
    <s v="KOLKATA"/>
    <s v="September"/>
    <d v="2022-09-15T00:00:00"/>
    <x v="0"/>
  </r>
  <r>
    <n v="50"/>
    <s v="431-3456789-0124568"/>
    <n v="3456789"/>
    <x v="1"/>
    <n v="39"/>
    <s v="Refunded"/>
    <s v="Ajio"/>
    <s v="SKU1910"/>
    <s v="Western Dress"/>
    <s v="XL"/>
    <n v="1"/>
    <s v="INR"/>
    <n v="1099"/>
    <s v="BENGALURU"/>
    <s v="October"/>
    <d v="2022-10-21T00:00:00"/>
    <x v="1"/>
  </r>
  <r>
    <n v="51"/>
    <s v="432-4567890-1235679"/>
    <n v="4567890"/>
    <x v="0"/>
    <n v="27"/>
    <s v="Delivered"/>
    <s v="Meesho"/>
    <s v="SKU2021"/>
    <s v="Kurta"/>
    <s v="M"/>
    <n v="1"/>
    <s v="INR"/>
    <n v="549"/>
    <s v="DELHI"/>
    <s v="November"/>
    <d v="2022-11-28T00:00:00"/>
    <x v="2"/>
  </r>
  <r>
    <n v="52"/>
    <s v="433-5678901-2346780"/>
    <n v="5678901"/>
    <x v="1"/>
    <n v="45"/>
    <s v="Delivered"/>
    <s v="Nykaa"/>
    <s v="SKU2132"/>
    <s v="Set"/>
    <s v="L"/>
    <n v="1"/>
    <s v="INR"/>
    <n v="899"/>
    <s v="MUMBAI"/>
    <s v="December"/>
    <d v="2022-12-02T00:00:00"/>
    <x v="0"/>
  </r>
  <r>
    <n v="53"/>
    <s v="434-6789012-3457891"/>
    <n v="6789012"/>
    <x v="0"/>
    <n v="36"/>
    <s v="Cancelled"/>
    <s v="Amazon"/>
    <s v="SKU2243"/>
    <s v="Top"/>
    <s v="S"/>
    <n v="1"/>
    <s v="INR"/>
    <n v="349"/>
    <s v="BHOPAL"/>
    <s v="January"/>
    <d v="2022-01-06T00:00:00"/>
    <x v="1"/>
  </r>
  <r>
    <n v="54"/>
    <s v="435-7890123-4568902"/>
    <n v="7890123"/>
    <x v="0"/>
    <n v="30"/>
    <s v="Delivered"/>
    <s v="Myntra"/>
    <s v="SKU2354"/>
    <s v="Kurta"/>
    <s v="XL"/>
    <n v="1"/>
    <s v="INR"/>
    <n v="799"/>
    <s v="INDORE"/>
    <s v="February"/>
    <d v="2022-02-11T00:00:00"/>
    <x v="2"/>
  </r>
  <r>
    <n v="55"/>
    <s v="436-8901234-5679013"/>
    <n v="8901234"/>
    <x v="1"/>
    <n v="42"/>
    <s v="Delivered"/>
    <s v="Flipkart"/>
    <s v="SKU2465"/>
    <s v="Set"/>
    <s v="M"/>
    <n v="1"/>
    <s v="INR"/>
    <n v="1099"/>
    <s v="PUNE"/>
    <s v="March"/>
    <d v="2022-03-17T00:00:00"/>
    <x v="0"/>
  </r>
  <r>
    <n v="56"/>
    <s v="437-9012345-6780124"/>
    <n v="9012345"/>
    <x v="0"/>
    <n v="24"/>
    <s v="Refunded"/>
    <s v="Ajio"/>
    <s v="SKU2576"/>
    <s v="Top"/>
    <s v="L"/>
    <n v="1"/>
    <s v="INR"/>
    <n v="399"/>
    <s v="JAIPUR"/>
    <s v="April"/>
    <d v="2022-04-24T00:00:00"/>
    <x v="1"/>
  </r>
  <r>
    <n v="57"/>
    <s v="438-0123456-7891236"/>
    <n v="123456"/>
    <x v="0"/>
    <n v="33"/>
    <s v="Delivered"/>
    <s v="Meesho"/>
    <s v="SKU2687"/>
    <s v="Kurta"/>
    <s v="S"/>
    <n v="1"/>
    <s v="INR"/>
    <n v="699"/>
    <s v="SURAT"/>
    <s v="May"/>
    <d v="2022-05-29T00:00:00"/>
    <x v="2"/>
  </r>
  <r>
    <n v="58"/>
    <s v="439-1234567-8902347"/>
    <n v="1234567"/>
    <x v="1"/>
    <n v="38"/>
    <s v="Delivered"/>
    <s v="Nykaa"/>
    <s v="SKU2798"/>
    <s v="Set"/>
    <s v="XXL"/>
    <n v="1"/>
    <s v="INR"/>
    <n v="999"/>
    <s v="AHMEDABAD"/>
    <s v="June"/>
    <d v="2022-06-01T00:00:00"/>
    <x v="0"/>
  </r>
  <r>
    <n v="59"/>
    <s v="440-2345678-9013458"/>
    <n v="2345678"/>
    <x v="0"/>
    <n v="21"/>
    <s v="Cancelled"/>
    <s v="Amazon"/>
    <s v="SKU2809"/>
    <s v="Top"/>
    <s v="M"/>
    <n v="1"/>
    <s v="INR"/>
    <n v="299"/>
    <s v="KOLKATA"/>
    <s v="July"/>
    <d v="2022-07-07T00:00:00"/>
    <x v="1"/>
  </r>
  <r>
    <n v="60"/>
    <s v="441-3456789-0124569"/>
    <n v="3456789"/>
    <x v="0"/>
    <n v="47"/>
    <s v="Delivered"/>
    <s v="Myntra"/>
    <s v="SKU2910"/>
    <s v="Kurta"/>
    <s v="L"/>
    <n v="1"/>
    <s v="INR"/>
    <n v="899"/>
    <s v="BENGALURU"/>
    <m/>
    <m/>
    <x v="3"/>
  </r>
</pivotCacheRecords>
</file>

<file path=xl/pivotCache/pivotCacheRecords3.xml><?xml version="1.0" encoding="utf-8"?>
<pivotCacheRecords xmlns="http://schemas.openxmlformats.org/spreadsheetml/2006/main" xmlns:r="http://schemas.openxmlformats.org/officeDocument/2006/relationships" count="60">
  <r>
    <n v="1"/>
    <s v="171-1029312-3038738"/>
    <n v="1029312"/>
    <s v="Women"/>
    <n v="44"/>
    <s v="Delivered"/>
    <x v="0"/>
    <s v="JNE1233-BLUE-KR-031-XXL"/>
    <s v="Kurta"/>
    <s v="XXL"/>
    <n v="1"/>
    <s v="INR"/>
    <n v="376"/>
    <s v="MOHALI"/>
    <s v="anuary"/>
    <d v="2022-01-01T00:00:00"/>
    <s v="Teenager"/>
    <s v="Amazon"/>
  </r>
  <r>
    <n v="2"/>
    <s v="405-2183842-2225946"/>
    <n v="2183842"/>
    <s v="Women"/>
    <n v="29"/>
    <s v="Delivered"/>
    <x v="1"/>
    <s v="SET414-KR-NP-L"/>
    <s v="Set"/>
    <s v="L"/>
    <n v="1"/>
    <s v="INR"/>
    <n v="1449"/>
    <s v="GURUGRAM"/>
    <s v="February"/>
    <d v="2022-02-05T00:00:00"/>
    <s v="Adult"/>
    <s v="Meesho"/>
  </r>
  <r>
    <n v="3"/>
    <s v="171-1641533-8921966"/>
    <n v="1641533"/>
    <s v="Women"/>
    <n v="67"/>
    <s v="Delivered"/>
    <x v="0"/>
    <s v="SET261-KR-PP-S"/>
    <s v="Set"/>
    <s v="S"/>
    <n v="1"/>
    <s v="INR"/>
    <n v="453"/>
    <s v="KOLKATA"/>
    <s v="March"/>
    <d v="2022-03-10T00:00:00"/>
    <s v="Senior"/>
    <s v="Flipkart"/>
  </r>
  <r>
    <n v="4"/>
    <s v="404-7490807-6300351"/>
    <n v="7490807"/>
    <s v="Women"/>
    <n v="20"/>
    <s v="Delivered"/>
    <x v="2"/>
    <s v="SET110-KR-PP-M"/>
    <s v="Set"/>
    <s v="M"/>
    <n v="1"/>
    <s v="INR"/>
    <n v="729"/>
    <s v="THANJAVUR"/>
    <s v="April"/>
    <d v="2022-04-15T00:00:00"/>
    <s v="Teenager"/>
    <s v="Myntra"/>
  </r>
  <r>
    <n v="5"/>
    <s v="403-9293516-4577154"/>
    <n v="9293516"/>
    <s v="Women"/>
    <n v="62"/>
    <s v="Delivered"/>
    <x v="0"/>
    <s v="JNE2294-KR-A-XXL"/>
    <s v="Kurta"/>
    <s v="XXL"/>
    <n v="1"/>
    <s v="INR"/>
    <n v="544"/>
    <s v="GURUGRAM"/>
    <s v="May"/>
    <d v="2022-05-20T00:00:00"/>
    <s v="Adult"/>
    <s v="Amazon"/>
  </r>
  <r>
    <n v="6"/>
    <s v="407-1298130-0368305"/>
    <n v="1298130"/>
    <s v="Men"/>
    <n v="49"/>
    <s v="Delivered"/>
    <x v="3"/>
    <s v="JNE3797-KR-XXL"/>
    <s v="Western Dress"/>
    <s v="XXL"/>
    <n v="1"/>
    <s v="INR"/>
    <n v="735"/>
    <s v="KUPWARA"/>
    <s v="June"/>
    <d v="2022-06-25T00:00:00"/>
    <s v="Senior"/>
    <s v="Meesho"/>
  </r>
  <r>
    <n v="7"/>
    <s v="407-1298130-0368305"/>
    <n v="1298130"/>
    <s v="Women"/>
    <n v="23"/>
    <s v="Delivered"/>
    <x v="4"/>
    <s v="JNE3801-KR-XXL"/>
    <s v="Kurta"/>
    <s v="XXL"/>
    <n v="1"/>
    <s v="INR"/>
    <n v="735"/>
    <s v="BENGALURU"/>
    <s v="July"/>
    <d v="2022-07-03T00:00:00"/>
    <s v="Teenager"/>
    <s v="Flipkart"/>
  </r>
  <r>
    <n v="8"/>
    <s v="171-5561216-3398711"/>
    <n v="5561216"/>
    <s v="Women"/>
    <n v="70"/>
    <s v="Delivered"/>
    <x v="5"/>
    <s v="JNE3405-KR-M"/>
    <s v="Kurta"/>
    <s v="M"/>
    <n v="1"/>
    <s v="INR"/>
    <n v="435"/>
    <s v="GURUGRAM"/>
    <s v="August"/>
    <d v="2022-08-08T00:00:00"/>
    <s v="Adult"/>
    <s v="Myntra"/>
  </r>
  <r>
    <n v="9"/>
    <s v="408-2935263-2935550"/>
    <n v="2935263"/>
    <s v="Women"/>
    <n v="75"/>
    <s v="Delivered"/>
    <x v="2"/>
    <s v="JNE3474-KR-E-XL"/>
    <s v="Kurta"/>
    <s v="XL"/>
    <n v="1"/>
    <s v="INR"/>
    <n v="385"/>
    <s v="BENGALURU"/>
    <s v="September"/>
    <d v="2022-09-12T00:00:00"/>
    <s v="Senior"/>
    <s v="Amazon"/>
  </r>
  <r>
    <n v="10"/>
    <s v="404-2648970-9042715"/>
    <n v="2648970"/>
    <s v="Women"/>
    <n v="43"/>
    <s v="Delivered"/>
    <x v="0"/>
    <s v="JNE3465-KR-L"/>
    <s v="Kurta"/>
    <s v="L"/>
    <n v="1"/>
    <s v="INR"/>
    <n v="399"/>
    <s v="VIJAYAWADA"/>
    <s v="October"/>
    <d v="2022-10-18T00:00:00"/>
    <s v="Teenager"/>
    <s v="Meesho"/>
  </r>
  <r>
    <n v="11"/>
    <s v="404-2648970-9042715"/>
    <n v="2648970"/>
    <s v="Women"/>
    <n v="76"/>
    <s v="Delivered"/>
    <x v="2"/>
    <s v="JNE3795-KR-S"/>
    <s v="Kurta"/>
    <s v="S"/>
    <n v="1"/>
    <s v="INR"/>
    <n v="499"/>
    <s v="VISAKHAPATNAM"/>
    <s v="November"/>
    <d v="2022-11-22T00:00:00"/>
    <s v="Adult"/>
    <s v="Flipkart"/>
  </r>
  <r>
    <n v="12"/>
    <s v="404-2648970-9042715"/>
    <n v="2648970"/>
    <s v="Women"/>
    <n v="45"/>
    <s v="Delivered"/>
    <x v="0"/>
    <s v="J0181-TP-M"/>
    <s v="Top"/>
    <s v="M"/>
    <n v="1"/>
    <s v="INR"/>
    <n v="299"/>
    <s v="HYDERABAD"/>
    <s v="December"/>
    <d v="2022-12-30T00:00:00"/>
    <s v="Senior"/>
    <s v="Myntra"/>
  </r>
  <r>
    <n v="13"/>
    <s v="406-0265357-4939534"/>
    <n v="265357"/>
    <s v="Women"/>
    <n v="18"/>
    <s v="Delivered"/>
    <x v="2"/>
    <s v="SET217-KR-PP-XL"/>
    <s v="Set"/>
    <s v="XL"/>
    <n v="1"/>
    <s v="INR"/>
    <n v="899"/>
    <s v="DELHI"/>
    <s v="January"/>
    <d v="2022-01-04T00:00:00"/>
    <s v="Teenager"/>
    <s v="Amazon"/>
  </r>
  <r>
    <n v="14"/>
    <s v="403-9268874-7296313"/>
    <n v="9268874"/>
    <s v="Men"/>
    <n v="44"/>
    <s v="Delivered"/>
    <x v="0"/>
    <s v="SET185-KR-NP-M"/>
    <s v="Set"/>
    <s v="M"/>
    <n v="1"/>
    <s v="INR"/>
    <n v="799"/>
    <s v="MUMBAI"/>
    <s v="February"/>
    <d v="2022-02-09T00:00:00"/>
    <s v="Adult"/>
    <s v="Meesho"/>
  </r>
  <r>
    <n v="15"/>
    <s v="407-0442660-2736366"/>
    <n v="442660"/>
    <s v="Women"/>
    <n v="52"/>
    <s v="Delivered"/>
    <x v="2"/>
    <s v="SET333-KR-DPT-M"/>
    <s v="Set"/>
    <s v="M"/>
    <n v="1"/>
    <s v="INR"/>
    <n v="699"/>
    <s v="PUNE"/>
    <s v="March"/>
    <d v="2022-03-14T00:00:00"/>
    <s v="Senior"/>
    <s v="Flipkart"/>
  </r>
  <r>
    <n v="16"/>
    <s v="406-7482261-1657136"/>
    <n v="7482261"/>
    <s v="Women"/>
    <n v="18"/>
    <s v="Delivered"/>
    <x v="6"/>
    <s v="J0124-TP-L"/>
    <s v="Top"/>
    <s v="L"/>
    <n v="1"/>
    <s v="INR"/>
    <n v="349"/>
    <s v="JAIPUR"/>
    <s v="April"/>
    <d v="2022-04-19T00:00:00"/>
    <s v="Teenager"/>
    <s v="Myntra"/>
  </r>
  <r>
    <n v="17"/>
    <s v="407-7039962-7080347"/>
    <n v="7039962"/>
    <s v="Men"/>
    <n v="30"/>
    <s v="Delivered"/>
    <x v="4"/>
    <s v="SET304-KR-OPT-XL"/>
    <s v="Set"/>
    <s v="XL"/>
    <n v="1"/>
    <s v="INR"/>
    <n v="999"/>
    <s v="AHMEDABAD"/>
    <s v="May"/>
    <d v="2022-05-24T00:00:00"/>
    <s v="Adult"/>
    <s v="Amazon"/>
  </r>
  <r>
    <n v="18"/>
    <s v="407-3422488-7373923"/>
    <n v="3422488"/>
    <s v="Women"/>
    <n v="48"/>
    <s v="Delivered"/>
    <x v="5"/>
    <s v="SET184-KR-PP-XS"/>
    <s v="Set"/>
    <s v="XS"/>
    <n v="1"/>
    <s v="INR"/>
    <n v="599"/>
    <s v="LUCKNOW"/>
    <s v="June"/>
    <d v="2022-06-28T00:00:00"/>
    <s v="Senior"/>
    <s v="Meesho"/>
  </r>
  <r>
    <n v="19"/>
    <s v="171-8974687-6745930"/>
    <n v="8974687"/>
    <s v="Men"/>
    <n v="24"/>
    <s v="Delivered"/>
    <x v="0"/>
    <s v="J0161-DR-XXL"/>
    <s v="Western Dress"/>
    <s v="XXL"/>
    <n v="1"/>
    <s v="INR"/>
    <n v="1199"/>
    <s v="CHANDIGARH"/>
    <s v="July"/>
    <d v="2022-07-06T00:00:00"/>
    <s v="Teenager"/>
    <s v="Flipkart"/>
  </r>
  <r>
    <n v="20"/>
    <s v="406-0244536-2177175"/>
    <n v="244536"/>
    <s v="Women"/>
    <n v="46"/>
    <s v="Delivered"/>
    <x v="2"/>
    <s v="SET233-KR-PP-M"/>
    <s v="Set"/>
    <s v="M"/>
    <n v="1"/>
    <s v="INR"/>
    <n v="649"/>
    <s v="NAGPUR"/>
    <s v="August"/>
    <d v="2022-08-11T00:00:00"/>
    <s v="Adult"/>
    <s v="Myntra"/>
  </r>
  <r>
    <n v="21"/>
    <s v="404-4376789-3345166"/>
    <n v="4376789"/>
    <s v="Women"/>
    <n v="43"/>
    <s v="Delivered"/>
    <x v="7"/>
    <s v="J0231-SKD-XXXL"/>
    <s v="Set"/>
    <s v="3XL"/>
    <n v="1"/>
    <s v="INR"/>
    <n v="1299"/>
    <s v="INDORE"/>
    <s v="September"/>
    <d v="2022-09-13T00:00:00"/>
    <s v="Senior"/>
    <s v="Amazon"/>
  </r>
  <r>
    <n v="22"/>
    <s v="404-1943310-9789160"/>
    <n v="1943310"/>
    <s v="Men"/>
    <n v="31"/>
    <s v="Refunded"/>
    <x v="0"/>
    <s v="J0339-DR-XXL"/>
    <s v="Western Dress"/>
    <s v="XXL"/>
    <n v="1"/>
    <s v="INR"/>
    <n v="1099"/>
    <s v="BHOPAL"/>
    <s v="October"/>
    <d v="2022-10-17T00:00:00"/>
    <s v="Teenager"/>
    <s v="Meesho"/>
  </r>
  <r>
    <n v="23"/>
    <s v="403-9505905-5051559"/>
    <n v="950590"/>
    <s v="Men"/>
    <n v="30"/>
    <s v="Delivered"/>
    <x v="0"/>
    <s v="SET210-KR-PP-XXXL"/>
    <s v="Set"/>
    <s v="3XL"/>
    <n v="1"/>
    <s v="INR"/>
    <n v="1399"/>
    <s v="SURAT"/>
    <s v="November"/>
    <d v="2022-11-21T00:00:00"/>
    <s v="Adult"/>
    <s v="Flipkart"/>
  </r>
  <r>
    <n v="24"/>
    <s v="405-6789123-4567890"/>
    <n v="6789123"/>
    <s v="Women"/>
    <n v="28"/>
    <s v="Delivered"/>
    <x v="2"/>
    <s v="SKU2345"/>
    <s v="Kurta"/>
    <s v="M"/>
    <n v="1"/>
    <s v="INR"/>
    <n v="599"/>
    <s v="DELHI"/>
    <s v="December"/>
    <d v="2022-12-27T00:00:00"/>
    <s v="Senior"/>
    <s v="Myntra"/>
  </r>
  <r>
    <n v="25"/>
    <s v="406-7891234-5678901"/>
    <n v="7891234"/>
    <s v="Men"/>
    <n v="35"/>
    <s v="Cancelled"/>
    <x v="0"/>
    <s v="SKU3456"/>
    <s v="Set"/>
    <s v="L"/>
    <n v="1"/>
    <s v="INR"/>
    <n v="899"/>
    <s v="MUMBAI"/>
    <s v="January"/>
    <d v="2022-01-02T00:00:00"/>
    <s v="Teenager"/>
    <s v="Amazon"/>
  </r>
  <r>
    <n v="26"/>
    <s v="407-8912345-6789012"/>
    <n v="8912345"/>
    <s v="Women"/>
    <n v="42"/>
    <s v="Delivered"/>
    <x v="3"/>
    <s v="SKU4567"/>
    <s v="Top"/>
    <s v="S"/>
    <n v="1"/>
    <s v="INR"/>
    <n v="399"/>
    <s v="BHOPAL"/>
    <s v="February"/>
    <d v="2022-02-07T00:00:00"/>
    <s v="Adult"/>
    <s v="Meesho"/>
  </r>
  <r>
    <n v="27"/>
    <s v="408-9123456-7890123"/>
    <n v="9123456"/>
    <s v="Women"/>
    <n v="23"/>
    <s v="Refunded"/>
    <x v="1"/>
    <s v="SKU5678"/>
    <s v="Western Dress"/>
    <s v="XL"/>
    <n v="1"/>
    <s v="INR"/>
    <n v="1099"/>
    <s v="INDORE"/>
    <s v="March"/>
    <d v="2022-03-11T00:00:00"/>
    <s v="Senior"/>
    <s v="Flipkart"/>
  </r>
  <r>
    <n v="28"/>
    <s v="409-1234567-8901234"/>
    <n v="1234567"/>
    <s v="Men"/>
    <n v="31"/>
    <s v="Delivered"/>
    <x v="4"/>
    <s v="SKU6789"/>
    <s v="Kurta"/>
    <s v="XXL"/>
    <n v="1"/>
    <s v="INR"/>
    <n v="749"/>
    <s v="PUNE"/>
    <s v="April"/>
    <d v="2022-04-16T00:00:00"/>
    <s v="Teenager"/>
    <s v="Myntra"/>
  </r>
  <r>
    <n v="29"/>
    <s v="410-2345678-9012345"/>
    <n v="2345678"/>
    <s v="Women"/>
    <n v="27"/>
    <s v="Delivered"/>
    <x v="6"/>
    <s v="SKU7890"/>
    <s v="Set"/>
    <s v="M"/>
    <n v="1"/>
    <s v="INR"/>
    <n v="1299"/>
    <s v="JAIPUR"/>
    <s v="May"/>
    <d v="2022-05-23T00:00:00"/>
    <s v="Adult"/>
    <s v="Amazon"/>
  </r>
  <r>
    <n v="30"/>
    <s v="411-3456789-0123456"/>
    <n v="3456789"/>
    <s v="Men"/>
    <n v="40"/>
    <s v="Cancelled"/>
    <x v="2"/>
    <s v="SKU8901"/>
    <s v="Top"/>
    <s v="L"/>
    <n v="1"/>
    <s v="INR"/>
    <n v="499"/>
    <s v="SURAT"/>
    <s v="June"/>
    <d v="2022-06-29T00:00:00"/>
    <s v="Senior"/>
    <s v="Meesho"/>
  </r>
  <r>
    <n v="31"/>
    <s v="412-4567890-1234567"/>
    <n v="4567890"/>
    <s v="Women"/>
    <n v="36"/>
    <s v="Delivered"/>
    <x v="0"/>
    <s v="SKU9012"/>
    <s v="Kurta"/>
    <s v="S"/>
    <n v="1"/>
    <s v="INR"/>
    <n v="699"/>
    <s v="AHMEDABAD"/>
    <s v="July"/>
    <d v="2022-07-05T00:00:00"/>
    <s v="Teenager"/>
    <s v="Flipkart"/>
  </r>
  <r>
    <n v="32"/>
    <s v="413-5678901-2345678"/>
    <n v="5678901"/>
    <s v="Women"/>
    <n v="21"/>
    <s v="Delivered"/>
    <x v="3"/>
    <s v="SKU1122"/>
    <s v="Set"/>
    <s v="XL"/>
    <n v="1"/>
    <s v="INR"/>
    <n v="999"/>
    <s v="KOLKATA"/>
    <s v="August"/>
    <d v="2022-08-09T00:00:00"/>
    <s v="Adult"/>
    <s v="Myntra"/>
  </r>
  <r>
    <n v="33"/>
    <s v="414-6789012-3456789"/>
    <n v="6789012"/>
    <s v="Men"/>
    <n v="29"/>
    <s v="Refunded"/>
    <x v="1"/>
    <s v="SKU2233"/>
    <s v="Western Dress"/>
    <s v="M"/>
    <n v="1"/>
    <s v="INR"/>
    <n v="1199"/>
    <s v="BENGALURU"/>
    <s v="September"/>
    <d v="2022-09-14T00:00:00"/>
    <s v="Senior"/>
    <s v="Amazon"/>
  </r>
  <r>
    <n v="34"/>
    <s v="415-7890123-4567891"/>
    <n v="7890123"/>
    <s v="Women"/>
    <n v="50"/>
    <s v="Delivered"/>
    <x v="4"/>
    <s v="SKU3344"/>
    <s v="Kurta"/>
    <s v="L"/>
    <n v="1"/>
    <s v="INR"/>
    <n v="549"/>
    <s v="DELHI"/>
    <s v="October"/>
    <d v="2022-10-19T00:00:00"/>
    <s v="Teenager"/>
    <s v="Meesho"/>
  </r>
  <r>
    <n v="35"/>
    <s v="416-8901234-5678912"/>
    <n v="8901234"/>
    <s v="Men"/>
    <n v="33"/>
    <s v="Delivered"/>
    <x v="6"/>
    <s v="SKU4455"/>
    <s v="Set"/>
    <s v="S"/>
    <n v="1"/>
    <s v="INR"/>
    <n v="899"/>
    <s v="MUMBAI"/>
    <s v="November"/>
    <d v="2022-11-26T00:00:00"/>
    <s v="Adult"/>
    <s v="Flipkart"/>
  </r>
  <r>
    <n v="36"/>
    <s v="417-9012345-6789123"/>
    <n v="9012345"/>
    <s v="Women"/>
    <n v="45"/>
    <s v="Cancelled"/>
    <x v="2"/>
    <s v="SKU5566"/>
    <s v="Top"/>
    <s v="XXL"/>
    <n v="1"/>
    <s v="INR"/>
    <n v="349"/>
    <s v="BHOPAL"/>
    <s v="December"/>
    <d v="2022-11-27T00:00:00"/>
    <s v="Senior"/>
    <s v="Myntra"/>
  </r>
  <r>
    <n v="37"/>
    <s v="418-0123456-7891234"/>
    <n v="123456"/>
    <s v="Women"/>
    <n v="38"/>
    <s v="Delivered"/>
    <x v="0"/>
    <s v="SKU6677"/>
    <s v="Kurta"/>
    <s v="M"/>
    <n v="1"/>
    <s v="INR"/>
    <n v="799"/>
    <s v="INDORE"/>
    <s v="January"/>
    <d v="2022-11-28T00:00:00"/>
    <s v="Teenager"/>
    <s v="Amazon"/>
  </r>
  <r>
    <n v="38"/>
    <s v="419-1234567-8902345"/>
    <n v="1234567"/>
    <s v="Men"/>
    <n v="41"/>
    <s v="Delivered"/>
    <x v="3"/>
    <s v="SKU7788"/>
    <s v="Set"/>
    <s v="L"/>
    <n v="1"/>
    <s v="INR"/>
    <n v="1099"/>
    <s v="PUNE"/>
    <s v="February"/>
    <d v="2022-11-29T00:00:00"/>
    <s v="Adult"/>
    <s v="Meesho"/>
  </r>
  <r>
    <n v="39"/>
    <s v="420-2345678-9013456"/>
    <n v="2345678"/>
    <s v="Women"/>
    <n v="26"/>
    <s v="Refunded"/>
    <x v="1"/>
    <s v="SKU8899"/>
    <s v="Top"/>
    <s v="S"/>
    <n v="1"/>
    <s v="INR"/>
    <n v="399"/>
    <s v="JAIPUR"/>
    <s v="March"/>
    <d v="2022-11-30T00:00:00"/>
    <s v="Senior"/>
    <s v="Flipkart"/>
  </r>
  <r>
    <n v="40"/>
    <s v="421-3456789-0124567"/>
    <n v="3456789"/>
    <s v="Women"/>
    <n v="34"/>
    <s v="Delivered"/>
    <x v="4"/>
    <s v="SKU9900"/>
    <s v="Kurta"/>
    <s v="XL"/>
    <n v="1"/>
    <s v="INR"/>
    <n v="699"/>
    <s v="SURAT"/>
    <s v="December"/>
    <d v="2022-12-03T00:00:00"/>
    <s v="Teenager"/>
    <s v="Myntra"/>
  </r>
  <r>
    <n v="41"/>
    <s v="422-4567890-1235678"/>
    <n v="4567890"/>
    <s v="Men"/>
    <n v="37"/>
    <s v="Delivered"/>
    <x v="2"/>
    <s v="SKU1021"/>
    <s v="Set"/>
    <s v="M"/>
    <n v="1"/>
    <s v="INR"/>
    <n v="899"/>
    <s v="DELHI"/>
    <s v="January"/>
    <d v="2022-01-08T00:00:00"/>
    <s v="Adult"/>
    <s v="Amazon"/>
  </r>
  <r>
    <n v="42"/>
    <s v="423-5678901-2346789"/>
    <n v="5678901"/>
    <s v="Women"/>
    <n v="25"/>
    <s v="Cancelled"/>
    <x v="0"/>
    <s v="SKU1132"/>
    <s v="Kurta"/>
    <s v="S"/>
    <n v="1"/>
    <s v="INR"/>
    <n v="599"/>
    <s v="MUMBAI"/>
    <s v="February"/>
    <d v="2022-02-12T00:00:00"/>
    <s v="Senior"/>
    <s v="Meesho"/>
  </r>
  <r>
    <n v="43"/>
    <s v="424-6789012-3457890"/>
    <n v="6789012"/>
    <s v="Women"/>
    <n v="32"/>
    <s v="Delivered"/>
    <x v="3"/>
    <s v="SKU1243"/>
    <s v="Top"/>
    <s v="L"/>
    <n v="1"/>
    <s v="INR"/>
    <n v="399"/>
    <s v="BHOPAL"/>
    <s v="March"/>
    <d v="2022-03-18T00:00:00"/>
    <s v="Teenager"/>
    <s v="Flipkart"/>
  </r>
  <r>
    <n v="44"/>
    <s v="425-7890123-4568901"/>
    <n v="7890123"/>
    <s v="Men"/>
    <n v="48"/>
    <s v="Refunded"/>
    <x v="1"/>
    <s v="SKU1354"/>
    <s v="Western Dress"/>
    <s v="XL"/>
    <n v="1"/>
    <s v="INR"/>
    <n v="1299"/>
    <s v="INDORE"/>
    <s v="April"/>
    <d v="2022-04-22T00:00:00"/>
    <s v="Adult"/>
    <s v="Myntra"/>
  </r>
  <r>
    <n v="45"/>
    <s v="426-8901234-5679012"/>
    <n v="8901234"/>
    <s v="Women"/>
    <n v="29"/>
    <s v="Delivered"/>
    <x v="4"/>
    <s v="SKU1465"/>
    <s v="Kurta"/>
    <s v="M"/>
    <n v="1"/>
    <s v="INR"/>
    <n v="749"/>
    <s v="PUNE"/>
    <s v="May"/>
    <d v="2022-05-27T00:00:00"/>
    <s v="Senior"/>
    <s v="Amazon"/>
  </r>
  <r>
    <n v="46"/>
    <s v="427-9012345-6780123"/>
    <n v="9012345"/>
    <s v="Women"/>
    <n v="41"/>
    <s v="Delivered"/>
    <x v="6"/>
    <s v="SKU1576"/>
    <s v="Set"/>
    <s v="XXL"/>
    <n v="1"/>
    <s v="INR"/>
    <n v="1199"/>
    <s v="JAIPUR"/>
    <s v="June"/>
    <d v="2022-06-30T00:00:00"/>
    <s v="Teenager"/>
    <s v="Meesho"/>
  </r>
  <r>
    <n v="47"/>
    <s v="428-0123456-7891235"/>
    <n v="123456"/>
    <s v="Men"/>
    <n v="35"/>
    <s v="Cancelled"/>
    <x v="2"/>
    <s v="SKU1687"/>
    <s v="Top"/>
    <s v="M"/>
    <n v="1"/>
    <s v="INR"/>
    <n v="499"/>
    <s v="SURAT"/>
    <s v="July"/>
    <d v="2022-07-04T00:00:00"/>
    <s v="Adult"/>
    <s v="Flipkart"/>
  </r>
  <r>
    <n v="48"/>
    <s v="429-1234567-8902346"/>
    <n v="1234567"/>
    <s v="Women"/>
    <n v="22"/>
    <s v="Delivered"/>
    <x v="0"/>
    <s v="SKU1798"/>
    <s v="Kurta"/>
    <s v="S"/>
    <n v="1"/>
    <s v="INR"/>
    <n v="699"/>
    <s v="AHMEDABAD"/>
    <s v="August"/>
    <d v="2022-08-10T00:00:00"/>
    <s v="Senior"/>
    <s v="Myntra"/>
  </r>
  <r>
    <n v="49"/>
    <s v="430-2345678-9013457"/>
    <n v="2345678"/>
    <s v="Women"/>
    <n v="31"/>
    <s v="Delivered"/>
    <x v="3"/>
    <s v="SKU1809"/>
    <s v="Set"/>
    <s v="L"/>
    <n v="1"/>
    <s v="INR"/>
    <n v="999"/>
    <s v="KOLKATA"/>
    <s v="September"/>
    <d v="2022-09-15T00:00:00"/>
    <s v="Teenager"/>
    <s v="Amazon"/>
  </r>
  <r>
    <n v="50"/>
    <s v="431-3456789-0124568"/>
    <n v="3456789"/>
    <s v="Men"/>
    <n v="39"/>
    <s v="Refunded"/>
    <x v="1"/>
    <s v="SKU1910"/>
    <s v="Western Dress"/>
    <s v="XL"/>
    <n v="1"/>
    <s v="INR"/>
    <n v="1099"/>
    <s v="BENGALURU"/>
    <s v="October"/>
    <d v="2022-10-21T00:00:00"/>
    <s v="Adult"/>
    <s v="Meesho"/>
  </r>
  <r>
    <n v="51"/>
    <s v="432-4567890-1235679"/>
    <n v="4567890"/>
    <s v="Women"/>
    <n v="27"/>
    <s v="Delivered"/>
    <x v="4"/>
    <s v="SKU2021"/>
    <s v="Kurta"/>
    <s v="M"/>
    <n v="1"/>
    <s v="INR"/>
    <n v="549"/>
    <s v="DELHI"/>
    <s v="November"/>
    <d v="2022-11-28T00:00:00"/>
    <s v="Senior"/>
    <s v="Flipkart"/>
  </r>
  <r>
    <n v="52"/>
    <s v="433-5678901-2346780"/>
    <n v="5678901"/>
    <s v="Men"/>
    <n v="45"/>
    <s v="Delivered"/>
    <x v="6"/>
    <s v="SKU2132"/>
    <s v="Set"/>
    <s v="L"/>
    <n v="1"/>
    <s v="INR"/>
    <n v="899"/>
    <s v="MUMBAI"/>
    <s v="December"/>
    <d v="2022-12-02T00:00:00"/>
    <s v="Teenager"/>
    <s v="Myntra"/>
  </r>
  <r>
    <n v="53"/>
    <s v="434-6789012-3457891"/>
    <n v="6789012"/>
    <s v="Women"/>
    <n v="36"/>
    <s v="Cancelled"/>
    <x v="2"/>
    <s v="SKU2243"/>
    <s v="Top"/>
    <s v="S"/>
    <n v="1"/>
    <s v="INR"/>
    <n v="349"/>
    <s v="BHOPAL"/>
    <s v="January"/>
    <d v="2022-01-06T00:00:00"/>
    <s v="Adult"/>
    <s v="Amazon"/>
  </r>
  <r>
    <n v="54"/>
    <s v="435-7890123-4568902"/>
    <n v="7890123"/>
    <s v="Women"/>
    <n v="30"/>
    <s v="Delivered"/>
    <x v="0"/>
    <s v="SKU2354"/>
    <s v="Kurta"/>
    <s v="XL"/>
    <n v="1"/>
    <s v="INR"/>
    <n v="799"/>
    <s v="INDORE"/>
    <s v="February"/>
    <d v="2022-02-11T00:00:00"/>
    <s v="Senior"/>
    <s v="Meesho"/>
  </r>
  <r>
    <n v="55"/>
    <s v="436-8901234-5679013"/>
    <n v="8901234"/>
    <s v="Men"/>
    <n v="42"/>
    <s v="Delivered"/>
    <x v="3"/>
    <s v="SKU2465"/>
    <s v="Set"/>
    <s v="M"/>
    <n v="1"/>
    <s v="INR"/>
    <n v="1099"/>
    <s v="PUNE"/>
    <s v="March"/>
    <d v="2022-03-17T00:00:00"/>
    <s v="Teenager"/>
    <s v="Flipkart"/>
  </r>
  <r>
    <n v="56"/>
    <s v="437-9012345-6780124"/>
    <n v="9012345"/>
    <s v="Women"/>
    <n v="24"/>
    <s v="Refunded"/>
    <x v="1"/>
    <s v="SKU2576"/>
    <s v="Top"/>
    <s v="L"/>
    <n v="1"/>
    <s v="INR"/>
    <n v="399"/>
    <s v="JAIPUR"/>
    <s v="April"/>
    <d v="2022-04-24T00:00:00"/>
    <s v="Adult"/>
    <s v="Myntra"/>
  </r>
  <r>
    <n v="57"/>
    <s v="438-0123456-7891236"/>
    <n v="123456"/>
    <s v="Women"/>
    <n v="33"/>
    <s v="Delivered"/>
    <x v="4"/>
    <s v="SKU2687"/>
    <s v="Kurta"/>
    <s v="S"/>
    <n v="1"/>
    <s v="INR"/>
    <n v="699"/>
    <s v="SURAT"/>
    <s v="May"/>
    <d v="2022-05-29T00:00:00"/>
    <s v="Senior"/>
    <s v="Amazon"/>
  </r>
  <r>
    <n v="58"/>
    <s v="439-1234567-8902347"/>
    <n v="1234567"/>
    <s v="Men"/>
    <n v="38"/>
    <s v="Delivered"/>
    <x v="6"/>
    <s v="SKU2798"/>
    <s v="Set"/>
    <s v="XXL"/>
    <n v="1"/>
    <s v="INR"/>
    <n v="999"/>
    <s v="AHMEDABAD"/>
    <s v="June"/>
    <d v="2022-06-01T00:00:00"/>
    <s v="Teenager"/>
    <s v="Meesho"/>
  </r>
  <r>
    <n v="59"/>
    <s v="440-2345678-9013458"/>
    <n v="2345678"/>
    <s v="Women"/>
    <n v="21"/>
    <s v="Cancelled"/>
    <x v="2"/>
    <s v="SKU2809"/>
    <s v="Top"/>
    <s v="M"/>
    <n v="1"/>
    <s v="INR"/>
    <n v="299"/>
    <s v="KOLKATA"/>
    <s v="July"/>
    <d v="2022-07-07T00:00:00"/>
    <s v="Adult"/>
    <s v="Flipkart"/>
  </r>
  <r>
    <n v="60"/>
    <s v="441-3456789-0124569"/>
    <n v="3456789"/>
    <s v="Women"/>
    <n v="47"/>
    <s v="Delivered"/>
    <x v="0"/>
    <s v="SKU2910"/>
    <s v="Kurta"/>
    <s v="L"/>
    <n v="1"/>
    <s v="INR"/>
    <n v="899"/>
    <s v="BENGALURU"/>
    <s v="August"/>
    <d v="2022-07-08T00:00:00"/>
    <s v="Adult"/>
    <s v="Myn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5" firstHeaderRow="0" firstDataRow="1" firstDataCol="1"/>
  <pivotFields count="16">
    <pivotField showAll="0"/>
    <pivotField dataField="1" showAll="0"/>
    <pivotField showAll="0"/>
    <pivotField showAll="0"/>
    <pivotField showAll="0"/>
    <pivotField showAll="0"/>
    <pivotField showAll="0">
      <items count="9">
        <item x="1"/>
        <item x="2"/>
        <item x="3"/>
        <item x="4"/>
        <item x="0"/>
        <item h="1" x="7"/>
        <item h="1" x="6"/>
        <item x="5"/>
        <item t="default"/>
      </items>
    </pivotField>
    <pivotField showAll="0"/>
    <pivotField showAll="0">
      <items count="5">
        <item x="0"/>
        <item h="1" x="1"/>
        <item h="1" x="3"/>
        <item h="1" x="2"/>
        <item t="default"/>
      </items>
    </pivotField>
    <pivotField showAll="0"/>
    <pivotField showAll="0"/>
    <pivotField showAll="0"/>
    <pivotField dataField="1" showAll="0"/>
    <pivotField showAll="0"/>
    <pivotField axis="axisRow" showAll="0">
      <items count="15">
        <item h="1" x="12"/>
        <item x="1"/>
        <item x="2"/>
        <item x="3"/>
        <item x="4"/>
        <item x="5"/>
        <item x="6"/>
        <item x="7"/>
        <item x="8"/>
        <item x="9"/>
        <item x="10"/>
        <item x="11"/>
        <item x="0"/>
        <item x="13"/>
        <item t="default"/>
      </items>
    </pivotField>
    <pivotField showAll="0"/>
  </pivotFields>
  <rowFields count="1">
    <field x="14"/>
  </rowFields>
  <rowItems count="12">
    <i>
      <x v="1"/>
    </i>
    <i>
      <x v="3"/>
    </i>
    <i>
      <x v="4"/>
    </i>
    <i>
      <x v="6"/>
    </i>
    <i>
      <x v="7"/>
    </i>
    <i>
      <x v="8"/>
    </i>
    <i>
      <x v="9"/>
    </i>
    <i>
      <x v="10"/>
    </i>
    <i>
      <x v="11"/>
    </i>
    <i>
      <x v="12"/>
    </i>
    <i>
      <x v="13"/>
    </i>
    <i t="grand">
      <x/>
    </i>
  </rowItems>
  <colFields count="1">
    <field x="-2"/>
  </colFields>
  <colItems count="2">
    <i>
      <x/>
    </i>
    <i i="1">
      <x v="1"/>
    </i>
  </colItems>
  <dataFields count="2">
    <dataField name="Sum of Amount" fld="12" baseField="0" baseItem="0"/>
    <dataField name="Count of Order ID" fld="1" subtotal="count"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6">
    <pivotField showAll="0"/>
    <pivotField showAll="0"/>
    <pivotField showAll="0"/>
    <pivotField axis="axisRow" showAll="0">
      <items count="3">
        <item x="1"/>
        <item x="0"/>
        <item t="default"/>
      </items>
    </pivotField>
    <pivotField showAll="0"/>
    <pivotField showAll="0"/>
    <pivotField showAll="0">
      <items count="9">
        <item x="1"/>
        <item x="2"/>
        <item x="3"/>
        <item x="4"/>
        <item x="0"/>
        <item h="1" x="7"/>
        <item h="1" x="6"/>
        <item x="5"/>
        <item t="default"/>
      </items>
    </pivotField>
    <pivotField showAll="0"/>
    <pivotField showAll="0">
      <items count="5">
        <item x="0"/>
        <item h="1" x="1"/>
        <item h="1" x="3"/>
        <item h="1" x="2"/>
        <item t="default"/>
      </items>
    </pivotField>
    <pivotField showAll="0"/>
    <pivotField showAll="0"/>
    <pivotField showAll="0"/>
    <pivotField dataField="1" showAll="0"/>
    <pivotField showAll="0"/>
    <pivotField showAll="0">
      <items count="15">
        <item h="1" x="12"/>
        <item x="1"/>
        <item x="2"/>
        <item x="3"/>
        <item x="4"/>
        <item x="5"/>
        <item x="6"/>
        <item x="7"/>
        <item x="8"/>
        <item x="9"/>
        <item x="10"/>
        <item x="11"/>
        <item x="0"/>
        <item x="13"/>
        <item t="default"/>
      </items>
    </pivotField>
    <pivotField showAll="0"/>
  </pivotFields>
  <rowFields count="1">
    <field x="3"/>
  </rowFields>
  <rowItems count="3">
    <i>
      <x/>
    </i>
    <i>
      <x v="1"/>
    </i>
    <i t="grand">
      <x/>
    </i>
  </rowItems>
  <colItems count="1">
    <i/>
  </colItems>
  <dataFields count="1">
    <dataField name="Sum of Amount" fld="12"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6" firstHeaderRow="1" firstDataRow="1" firstDataCol="1"/>
  <pivotFields count="16">
    <pivotField showAll="0"/>
    <pivotField dataField="1" showAll="0"/>
    <pivotField showAll="0"/>
    <pivotField showAll="0"/>
    <pivotField showAll="0"/>
    <pivotField axis="axisRow" showAll="0">
      <items count="4">
        <item x="2"/>
        <item x="0"/>
        <item x="1"/>
        <item t="default"/>
      </items>
    </pivotField>
    <pivotField showAll="0">
      <items count="9">
        <item x="1"/>
        <item x="2"/>
        <item x="3"/>
        <item x="4"/>
        <item x="0"/>
        <item h="1" x="7"/>
        <item h="1" x="6"/>
        <item x="5"/>
        <item t="default"/>
      </items>
    </pivotField>
    <pivotField showAll="0"/>
    <pivotField showAll="0">
      <items count="5">
        <item x="0"/>
        <item h="1" x="1"/>
        <item h="1" x="3"/>
        <item h="1" x="2"/>
        <item t="default"/>
      </items>
    </pivotField>
    <pivotField showAll="0"/>
    <pivotField showAll="0"/>
    <pivotField showAll="0"/>
    <pivotField showAll="0"/>
    <pivotField showAll="0"/>
    <pivotField showAll="0">
      <items count="15">
        <item h="1" x="12"/>
        <item x="1"/>
        <item x="2"/>
        <item x="3"/>
        <item x="4"/>
        <item x="5"/>
        <item x="6"/>
        <item x="7"/>
        <item x="8"/>
        <item x="9"/>
        <item x="10"/>
        <item x="11"/>
        <item x="0"/>
        <item x="13"/>
        <item t="default"/>
      </items>
    </pivotField>
    <pivotField showAll="0"/>
  </pivotFields>
  <rowFields count="1">
    <field x="5"/>
  </rowFields>
  <rowItems count="3">
    <i>
      <x/>
    </i>
    <i>
      <x v="1"/>
    </i>
    <i t="grand">
      <x/>
    </i>
  </rowItems>
  <colItems count="1">
    <i/>
  </colItems>
  <dataFields count="1">
    <dataField name="Count of Order ID" fld="1" subtotal="count" baseField="0" baseItem="0"/>
  </dataField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0"/>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5" count="1" selected="0">
            <x v="0"/>
          </reference>
        </references>
      </pivotArea>
    </chartFormat>
    <chartFormat chart="8" format="11">
      <pivotArea type="data" outline="0" fieldPosition="0">
        <references count="2">
          <reference field="4294967294" count="1" selected="0">
            <x v="0"/>
          </reference>
          <reference field="5" count="1" selected="0">
            <x v="1"/>
          </reference>
        </references>
      </pivotArea>
    </chartFormat>
    <chartFormat chart="8" format="1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pivotField showAll="0"/>
    <pivotField showAll="0"/>
    <pivotField showAll="0"/>
    <pivotField showAll="0"/>
    <pivotField showAll="0"/>
    <pivotField showAll="0">
      <items count="9">
        <item x="1"/>
        <item x="2"/>
        <item x="3"/>
        <item x="4"/>
        <item x="0"/>
        <item h="1" x="7"/>
        <item h="1" x="6"/>
        <item x="5"/>
        <item t="default"/>
      </items>
    </pivotField>
    <pivotField showAll="0"/>
    <pivotField showAll="0">
      <items count="5">
        <item x="0"/>
        <item h="1" x="1"/>
        <item h="1" x="3"/>
        <item h="1" x="2"/>
        <item t="default"/>
      </items>
    </pivotField>
    <pivotField showAll="0"/>
    <pivotField showAll="0"/>
    <pivotField showAll="0"/>
    <pivotField dataField="1" showAll="0"/>
    <pivotField axis="axisRow" showAll="0" measureFilter="1" sortType="descending">
      <items count="21">
        <item x="13"/>
        <item x="5"/>
        <item x="18"/>
        <item x="15"/>
        <item x="9"/>
        <item x="1"/>
        <item x="8"/>
        <item x="17"/>
        <item x="12"/>
        <item x="2"/>
        <item x="4"/>
        <item x="14"/>
        <item x="0"/>
        <item x="10"/>
        <item x="16"/>
        <item x="11"/>
        <item x="19"/>
        <item x="3"/>
        <item x="6"/>
        <item x="7"/>
        <item t="default"/>
      </items>
      <autoSortScope>
        <pivotArea dataOnly="0" outline="0" fieldPosition="0">
          <references count="1">
            <reference field="4294967294" count="1" selected="0">
              <x v="0"/>
            </reference>
          </references>
        </pivotArea>
      </autoSortScope>
    </pivotField>
    <pivotField showAll="0"/>
    <pivotField showAll="0"/>
  </pivotFields>
  <rowFields count="1">
    <field x="13"/>
  </rowFields>
  <rowItems count="7">
    <i>
      <x v="1"/>
    </i>
    <i>
      <x v="4"/>
    </i>
    <i>
      <x v="7"/>
    </i>
    <i>
      <x v="15"/>
    </i>
    <i>
      <x v="16"/>
    </i>
    <i>
      <x/>
    </i>
    <i t="grand">
      <x/>
    </i>
  </rowItems>
  <colItems count="1">
    <i/>
  </colItems>
  <dataFields count="1">
    <dataField name="Sum of Amount" fld="12"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3" count="1" selected="0">
            <x v="16"/>
          </reference>
        </references>
      </pivotArea>
    </chartFormat>
    <chartFormat chart="0" format="3">
      <pivotArea type="data" outline="0" fieldPosition="0">
        <references count="2">
          <reference field="4294967294" count="1" selected="0">
            <x v="0"/>
          </reference>
          <reference field="13" count="1" selected="0">
            <x v="13"/>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1" firstDataRow="2" firstDataCol="1"/>
  <pivotFields count="17">
    <pivotField showAll="0"/>
    <pivotField dataFiel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s>
  <rowFields count="1">
    <field x="16"/>
  </rowFields>
  <rowItems count="5">
    <i>
      <x/>
    </i>
    <i>
      <x v="1"/>
    </i>
    <i>
      <x v="2"/>
    </i>
    <i>
      <x v="3"/>
    </i>
    <i t="grand">
      <x/>
    </i>
  </rowItems>
  <colFields count="1">
    <field x="3"/>
  </colFields>
  <colItems count="3">
    <i>
      <x/>
    </i>
    <i>
      <x v="1"/>
    </i>
    <i t="grand">
      <x/>
    </i>
  </colItems>
  <dataFields count="1">
    <dataField name="Count of Order ID" fld="1" subtotal="count" showDataAs="percentOfTotal" baseField="0" baseItem="0" numFmtId="10"/>
  </dataFields>
  <chartFormats count="4">
    <chartFormat chart="0" format="2" series="1">
      <pivotArea type="data" outline="0" fieldPosition="0">
        <references count="2">
          <reference field="4294967294" count="1" selected="0">
            <x v="0"/>
          </reference>
          <reference field="3" count="1" selected="0">
            <x v="0"/>
          </reference>
        </references>
      </pivotArea>
    </chartFormat>
    <chartFormat chart="0" format="3" series="1">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1" firstHeaderRow="1" firstDataRow="1" firstDataCol="1"/>
  <pivotFields count="18">
    <pivotField showAll="0"/>
    <pivotField dataField="1" showAll="0"/>
    <pivotField showAll="0"/>
    <pivotField showAll="0"/>
    <pivotField showAll="0"/>
    <pivotField showAll="0"/>
    <pivotField axis="axisRow" showAll="0">
      <items count="9">
        <item x="1"/>
        <item x="2"/>
        <item x="3"/>
        <item x="4"/>
        <item x="0"/>
        <item x="7"/>
        <item x="6"/>
        <item x="5"/>
        <item t="default"/>
      </items>
    </pivotField>
    <pivotField showAll="0"/>
    <pivotField showAll="0"/>
    <pivotField showAll="0"/>
    <pivotField showAll="0"/>
    <pivotField showAll="0"/>
    <pivotField showAll="0"/>
    <pivotField showAll="0"/>
    <pivotField showAll="0"/>
    <pivotField numFmtId="14" showAll="0"/>
    <pivotField showAll="0"/>
    <pivotField showAll="0"/>
  </pivotFields>
  <rowFields count="1">
    <field x="6"/>
  </rowFields>
  <rowItems count="8">
    <i>
      <x/>
    </i>
    <i>
      <x v="1"/>
    </i>
    <i>
      <x v="2"/>
    </i>
    <i>
      <x v="3"/>
    </i>
    <i>
      <x v="4"/>
    </i>
    <i>
      <x v="5"/>
    </i>
    <i>
      <x v="6"/>
    </i>
    <i>
      <x v="7"/>
    </i>
  </rowItems>
  <colItems count="1">
    <i/>
  </colItems>
  <dataFields count="1">
    <dataField name="Count of Order ID" fld="1" subtotal="count"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 chart="1" format="7">
      <pivotArea type="data" outline="0" fieldPosition="0">
        <references count="2">
          <reference field="4294967294" count="1" selected="0">
            <x v="0"/>
          </reference>
          <reference field="6" count="1" selected="0">
            <x v="5"/>
          </reference>
        </references>
      </pivotArea>
    </chartFormat>
    <chartFormat chart="1" format="8">
      <pivotArea type="data" outline="0" fieldPosition="0">
        <references count="2">
          <reference field="4294967294" count="1" selected="0">
            <x v="0"/>
          </reference>
          <reference field="6" count="1" selected="0">
            <x v="6"/>
          </reference>
        </references>
      </pivotArea>
    </chartFormat>
    <chartFormat chart="1" format="9">
      <pivotArea type="data" outline="0" fieldPosition="0">
        <references count="2">
          <reference field="4294967294" count="1" selected="0">
            <x v="0"/>
          </reference>
          <reference field="6"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 chart="2" format="15">
      <pivotArea type="data" outline="0" fieldPosition="0">
        <references count="2">
          <reference field="4294967294" count="1" selected="0">
            <x v="0"/>
          </reference>
          <reference field="6" count="1" selected="0">
            <x v="4"/>
          </reference>
        </references>
      </pivotArea>
    </chartFormat>
    <chartFormat chart="2" format="16">
      <pivotArea type="data" outline="0" fieldPosition="0">
        <references count="2">
          <reference field="4294967294" count="1" selected="0">
            <x v="0"/>
          </reference>
          <reference field="6" count="1" selected="0">
            <x v="5"/>
          </reference>
        </references>
      </pivotArea>
    </chartFormat>
    <chartFormat chart="2" format="17">
      <pivotArea type="data" outline="0" fieldPosition="0">
        <references count="2">
          <reference field="4294967294" count="1" selected="0">
            <x v="0"/>
          </reference>
          <reference field="6" count="1" selected="0">
            <x v="6"/>
          </reference>
        </references>
      </pivotArea>
    </chartFormat>
    <chartFormat chart="2" format="18">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3" name="PivotTable2"/>
    <pivotTable tabId="5" name="PivotTable3"/>
    <pivotTable tabId="7" name="PivotTable4"/>
    <pivotTable tabId="9" name="PivotTable6"/>
  </pivotTables>
  <data>
    <tabular pivotCacheId="1">
      <items count="8">
        <i x="2" s="1"/>
        <i x="4" s="1"/>
        <i x="0" s="1"/>
        <i x="5" s="1"/>
        <i x="1" s="1" nd="1"/>
        <i x="3" s="1" nd="1"/>
        <i x="7"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5" name="PivotTable3"/>
    <pivotTable tabId="7" name="PivotTable4"/>
    <pivotTable tabId="9" name="PivotTable6"/>
  </pivotTables>
  <data>
    <tabular pivotCacheId="1">
      <items count="4">
        <i x="0" s="1"/>
        <i x="1"/>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2"/>
    <pivotTable tabId="5" name="PivotTable3"/>
    <pivotTable tabId="7" name="PivotTable4"/>
  </pivotTables>
  <data>
    <tabular pivotCacheId="1">
      <items count="14">
        <i x="12"/>
        <i x="1" s="1"/>
        <i x="3" s="1"/>
        <i x="4" s="1"/>
        <i x="6" s="1"/>
        <i x="7" s="1"/>
        <i x="8" s="1"/>
        <i x="9" s="1"/>
        <i x="10" s="1"/>
        <i x="11" s="1"/>
        <i x="0" s="1"/>
        <i x="13" s="1"/>
        <i x="2"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cache="Slicer_Channel" caption="Channel" rowHeight="234950"/>
  <slicer name="Category" cache="Slicer_Category" caption="Category" rowHeight="234950"/>
  <slicer name="Month"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zoomScale="125" workbookViewId="0">
      <selection activeCell="L3" sqref="L3"/>
    </sheetView>
  </sheetViews>
  <sheetFormatPr defaultRowHeight="14.4" x14ac:dyDescent="0.3"/>
  <cols>
    <col min="1" max="1" width="12.5546875" customWidth="1"/>
    <col min="2" max="2" width="14.44140625" customWidth="1"/>
    <col min="3" max="3" width="15.88671875" bestFit="1" customWidth="1"/>
  </cols>
  <sheetData>
    <row r="3" spans="1:3" x14ac:dyDescent="0.3">
      <c r="A3" s="3" t="s">
        <v>104</v>
      </c>
      <c r="B3" t="s">
        <v>102</v>
      </c>
      <c r="C3" t="s">
        <v>103</v>
      </c>
    </row>
    <row r="4" spans="1:3" x14ac:dyDescent="0.3">
      <c r="A4" s="4" t="s">
        <v>184</v>
      </c>
      <c r="B4" s="2">
        <v>1398</v>
      </c>
      <c r="C4" s="2">
        <v>2</v>
      </c>
    </row>
    <row r="5" spans="1:3" x14ac:dyDescent="0.3">
      <c r="A5" s="4" t="s">
        <v>186</v>
      </c>
      <c r="B5" s="2">
        <v>749</v>
      </c>
      <c r="C5" s="2">
        <v>1</v>
      </c>
    </row>
    <row r="6" spans="1:3" x14ac:dyDescent="0.3">
      <c r="A6" s="4" t="s">
        <v>187</v>
      </c>
      <c r="B6" s="2">
        <v>1992</v>
      </c>
      <c r="C6" s="2">
        <v>3</v>
      </c>
    </row>
    <row r="7" spans="1:3" x14ac:dyDescent="0.3">
      <c r="A7" s="4" t="s">
        <v>189</v>
      </c>
      <c r="B7" s="2">
        <v>1434</v>
      </c>
      <c r="C7" s="2">
        <v>2</v>
      </c>
    </row>
    <row r="8" spans="1:3" x14ac:dyDescent="0.3">
      <c r="A8" s="4" t="s">
        <v>190</v>
      </c>
      <c r="B8" s="2">
        <v>1134</v>
      </c>
      <c r="C8" s="2">
        <v>2</v>
      </c>
    </row>
    <row r="9" spans="1:3" x14ac:dyDescent="0.3">
      <c r="A9" s="4" t="s">
        <v>191</v>
      </c>
      <c r="B9" s="2">
        <v>385</v>
      </c>
      <c r="C9" s="2">
        <v>1</v>
      </c>
    </row>
    <row r="10" spans="1:3" x14ac:dyDescent="0.3">
      <c r="A10" s="4" t="s">
        <v>192</v>
      </c>
      <c r="B10" s="2">
        <v>948</v>
      </c>
      <c r="C10" s="2">
        <v>2</v>
      </c>
    </row>
    <row r="11" spans="1:3" x14ac:dyDescent="0.3">
      <c r="A11" s="4" t="s">
        <v>193</v>
      </c>
      <c r="B11" s="2">
        <v>1048</v>
      </c>
      <c r="C11" s="2">
        <v>2</v>
      </c>
    </row>
    <row r="12" spans="1:3" x14ac:dyDescent="0.3">
      <c r="A12" s="4" t="s">
        <v>181</v>
      </c>
      <c r="B12" s="2">
        <v>1298</v>
      </c>
      <c r="C12" s="2">
        <v>2</v>
      </c>
    </row>
    <row r="13" spans="1:3" x14ac:dyDescent="0.3">
      <c r="A13" s="4" t="s">
        <v>183</v>
      </c>
      <c r="B13" s="2">
        <v>376</v>
      </c>
      <c r="C13" s="2">
        <v>1</v>
      </c>
    </row>
    <row r="14" spans="1:3" x14ac:dyDescent="0.3">
      <c r="A14" s="4" t="s">
        <v>195</v>
      </c>
      <c r="B14" s="2">
        <v>899</v>
      </c>
      <c r="C14" s="2">
        <v>1</v>
      </c>
    </row>
    <row r="15" spans="1:3" x14ac:dyDescent="0.3">
      <c r="A15" s="4" t="s">
        <v>105</v>
      </c>
      <c r="B15" s="2">
        <v>11661</v>
      </c>
      <c r="C15" s="2">
        <v>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8"/>
  <sheetViews>
    <sheetView showGridLines="0" tabSelected="1" topLeftCell="A2" zoomScale="91" zoomScaleNormal="100" workbookViewId="0">
      <selection activeCell="Q35" sqref="Q35"/>
    </sheetView>
  </sheetViews>
  <sheetFormatPr defaultRowHeight="14.4" x14ac:dyDescent="0.3"/>
  <cols>
    <col min="1" max="1" width="17.88671875" customWidth="1"/>
  </cols>
  <sheetData>
    <row r="1" spans="1:40" ht="31.2" x14ac:dyDescent="0.6">
      <c r="A1" s="7" t="s">
        <v>202</v>
      </c>
      <c r="B1" s="8"/>
      <c r="C1" s="8"/>
      <c r="D1" s="8"/>
      <c r="E1" s="8"/>
      <c r="F1" s="8"/>
      <c r="G1" s="8"/>
      <c r="H1" s="8"/>
      <c r="I1" s="8"/>
      <c r="J1" s="8"/>
      <c r="K1" s="8"/>
      <c r="L1" s="8"/>
      <c r="M1" s="8"/>
      <c r="N1" s="8"/>
      <c r="O1" s="8"/>
      <c r="P1" s="8"/>
      <c r="Q1" s="8"/>
      <c r="R1" s="8"/>
      <c r="S1" s="8"/>
      <c r="T1" s="8"/>
      <c r="U1" s="7" t="s">
        <v>196</v>
      </c>
      <c r="V1" s="8"/>
      <c r="W1" s="8"/>
      <c r="X1" s="8"/>
      <c r="Y1" s="8"/>
      <c r="Z1" s="8"/>
      <c r="AA1" s="8"/>
      <c r="AB1" s="8"/>
      <c r="AC1" s="8"/>
      <c r="AD1" s="8"/>
      <c r="AE1" s="8"/>
      <c r="AF1" s="8"/>
      <c r="AG1" s="8"/>
      <c r="AH1" s="8"/>
      <c r="AI1" s="8"/>
      <c r="AJ1" s="8"/>
      <c r="AK1" s="8"/>
      <c r="AL1" s="8"/>
      <c r="AM1" s="8"/>
      <c r="AN1" s="8"/>
    </row>
    <row r="2" spans="1:40" x14ac:dyDescent="0.3">
      <c r="A2" s="5"/>
      <c r="B2" s="5"/>
      <c r="C2" s="5"/>
      <c r="D2" s="5"/>
      <c r="E2" s="5"/>
      <c r="F2" s="5"/>
      <c r="G2" s="5"/>
      <c r="H2" s="5"/>
      <c r="I2" s="5"/>
      <c r="J2" s="5"/>
      <c r="K2" s="5"/>
      <c r="L2" s="5"/>
      <c r="M2" s="5"/>
      <c r="N2" s="5"/>
      <c r="O2" s="5"/>
      <c r="P2" s="5"/>
      <c r="Q2" s="5"/>
      <c r="R2" s="5"/>
      <c r="S2" s="5"/>
      <c r="T2" s="5"/>
      <c r="U2" s="5"/>
      <c r="V2" s="5"/>
      <c r="W2" s="5"/>
      <c r="X2" s="5"/>
      <c r="Y2" s="5"/>
      <c r="Z2" s="5"/>
    </row>
    <row r="3" spans="1:40" x14ac:dyDescent="0.3">
      <c r="A3" s="5"/>
      <c r="B3" s="5"/>
      <c r="C3" s="5"/>
      <c r="D3" s="5"/>
      <c r="E3" s="5"/>
      <c r="F3" s="5"/>
      <c r="G3" s="5"/>
      <c r="H3" s="5"/>
      <c r="I3" s="5"/>
      <c r="J3" s="5"/>
      <c r="K3" s="5"/>
      <c r="L3" s="5"/>
      <c r="M3" s="5"/>
      <c r="N3" s="5"/>
      <c r="O3" s="5"/>
      <c r="P3" s="5"/>
      <c r="Q3" s="5"/>
      <c r="R3" s="5"/>
      <c r="S3" s="5"/>
      <c r="T3" s="5"/>
      <c r="U3" s="5"/>
      <c r="V3" s="5"/>
      <c r="W3" s="5"/>
      <c r="X3" s="5"/>
      <c r="Y3" s="5"/>
      <c r="Z3" s="5"/>
    </row>
    <row r="4" spans="1:40" x14ac:dyDescent="0.3">
      <c r="A4" s="5"/>
      <c r="B4" s="5"/>
      <c r="C4" s="5"/>
      <c r="D4" s="5"/>
      <c r="E4" s="5"/>
      <c r="F4" s="5"/>
      <c r="G4" s="5"/>
      <c r="H4" s="5"/>
      <c r="I4" s="5"/>
      <c r="J4" s="5"/>
      <c r="K4" s="5"/>
      <c r="L4" s="5"/>
      <c r="M4" s="5"/>
      <c r="N4" s="5"/>
      <c r="O4" s="5"/>
      <c r="P4" s="5"/>
      <c r="Q4" s="5"/>
      <c r="R4" s="5"/>
      <c r="S4" s="5"/>
      <c r="T4" s="5"/>
      <c r="U4" s="5"/>
      <c r="V4" s="5"/>
      <c r="W4" s="5"/>
      <c r="X4" s="5"/>
      <c r="Y4" s="5"/>
      <c r="Z4" s="5"/>
    </row>
    <row r="5" spans="1:40" x14ac:dyDescent="0.3">
      <c r="A5" s="5"/>
      <c r="B5" s="5"/>
      <c r="C5" s="5"/>
      <c r="D5" s="5"/>
      <c r="E5" s="5"/>
      <c r="F5" s="5"/>
      <c r="G5" s="5"/>
      <c r="H5" s="5"/>
      <c r="I5" s="5"/>
      <c r="J5" s="5"/>
      <c r="K5" s="5"/>
      <c r="L5" s="5"/>
      <c r="M5" s="5"/>
      <c r="N5" s="5"/>
      <c r="O5" s="5"/>
      <c r="P5" s="5"/>
      <c r="Q5" s="5"/>
      <c r="R5" s="5"/>
      <c r="S5" s="5"/>
      <c r="T5" s="5"/>
      <c r="U5" s="5"/>
      <c r="V5" s="5"/>
      <c r="W5" s="5"/>
      <c r="X5" s="5"/>
      <c r="Y5" s="5"/>
      <c r="Z5" s="5"/>
    </row>
    <row r="6" spans="1:40" x14ac:dyDescent="0.3">
      <c r="A6" s="5"/>
      <c r="B6" s="5"/>
      <c r="C6" s="5"/>
      <c r="D6" s="5"/>
      <c r="E6" s="5"/>
      <c r="F6" s="5"/>
      <c r="G6" s="5"/>
      <c r="H6" s="5"/>
      <c r="I6" s="5"/>
      <c r="J6" s="5"/>
      <c r="K6" s="5"/>
      <c r="L6" s="5"/>
      <c r="M6" s="5"/>
      <c r="N6" s="5"/>
      <c r="O6" s="5"/>
      <c r="P6" s="5"/>
      <c r="Q6" s="5"/>
      <c r="R6" s="5"/>
      <c r="S6" s="5"/>
      <c r="T6" s="5"/>
      <c r="U6" s="5"/>
      <c r="V6" s="5"/>
      <c r="W6" s="5"/>
      <c r="X6" s="5"/>
      <c r="Y6" s="5"/>
      <c r="Z6" s="5"/>
    </row>
    <row r="7" spans="1:40" x14ac:dyDescent="0.3">
      <c r="A7" s="5"/>
      <c r="B7" s="5"/>
      <c r="C7" s="5"/>
      <c r="D7" s="5"/>
      <c r="E7" s="5"/>
      <c r="F7" s="5"/>
      <c r="G7" s="5"/>
      <c r="H7" s="5"/>
      <c r="I7" s="5"/>
      <c r="J7" s="5"/>
      <c r="K7" s="5"/>
      <c r="L7" s="5"/>
      <c r="M7" s="5"/>
      <c r="N7" s="5"/>
      <c r="O7" s="5"/>
      <c r="P7" s="5"/>
      <c r="Q7" s="5"/>
      <c r="R7" s="5"/>
      <c r="S7" s="5"/>
      <c r="T7" s="5"/>
      <c r="U7" s="5"/>
      <c r="V7" s="5"/>
      <c r="W7" s="5"/>
      <c r="X7" s="5"/>
      <c r="Y7" s="5"/>
      <c r="Z7" s="5"/>
    </row>
    <row r="8" spans="1:40" x14ac:dyDescent="0.3">
      <c r="A8" s="5"/>
      <c r="B8" s="5"/>
      <c r="C8" s="5"/>
      <c r="D8" s="5"/>
      <c r="E8" s="5"/>
      <c r="F8" s="5"/>
      <c r="G8" s="5"/>
      <c r="H8" s="5"/>
      <c r="I8" s="5"/>
      <c r="J8" s="5"/>
      <c r="K8" s="5"/>
      <c r="L8" s="5"/>
      <c r="M8" s="5"/>
      <c r="N8" s="5"/>
      <c r="O8" s="5"/>
      <c r="P8" s="5"/>
      <c r="Q8" s="5"/>
      <c r="R8" s="5"/>
      <c r="S8" s="5"/>
      <c r="T8" s="5"/>
      <c r="U8" s="5"/>
      <c r="V8" s="5"/>
      <c r="W8" s="5"/>
      <c r="X8" s="5"/>
      <c r="Y8" s="5"/>
      <c r="Z8" s="5"/>
    </row>
    <row r="9" spans="1:40" x14ac:dyDescent="0.3">
      <c r="A9" s="5"/>
      <c r="B9" s="5"/>
      <c r="C9" s="5"/>
      <c r="D9" s="5"/>
      <c r="E9" s="5"/>
      <c r="F9" s="5"/>
      <c r="G9" s="5"/>
      <c r="H9" s="5"/>
      <c r="I9" s="5"/>
      <c r="J9" s="5"/>
      <c r="K9" s="5"/>
      <c r="L9" s="5"/>
      <c r="M9" s="5"/>
      <c r="N9" s="5"/>
      <c r="O9" s="5"/>
      <c r="P9" s="5"/>
      <c r="Q9" s="5"/>
      <c r="R9" s="5"/>
      <c r="S9" s="5"/>
      <c r="T9" s="5"/>
      <c r="U9" s="5"/>
      <c r="V9" s="5"/>
      <c r="W9" s="5"/>
      <c r="X9" s="5"/>
      <c r="Y9" s="5"/>
      <c r="Z9" s="5"/>
    </row>
    <row r="10" spans="1:40"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40"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40"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40"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40"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40"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40"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sheetData>
  <mergeCells count="2">
    <mergeCell ref="A1:T1"/>
    <mergeCell ref="U1:AN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B6"/>
    </sheetView>
  </sheetViews>
  <sheetFormatPr defaultRowHeight="14.4" x14ac:dyDescent="0.3"/>
  <cols>
    <col min="1" max="1" width="12.5546875" customWidth="1"/>
    <col min="2" max="2" width="14.44140625" bestFit="1" customWidth="1"/>
  </cols>
  <sheetData>
    <row r="3" spans="1:2" x14ac:dyDescent="0.3">
      <c r="A3" s="3" t="s">
        <v>104</v>
      </c>
      <c r="B3" t="s">
        <v>102</v>
      </c>
    </row>
    <row r="4" spans="1:2" x14ac:dyDescent="0.3">
      <c r="A4" s="4" t="s">
        <v>42</v>
      </c>
      <c r="B4" s="2">
        <v>749</v>
      </c>
    </row>
    <row r="5" spans="1:2" x14ac:dyDescent="0.3">
      <c r="A5" s="4" t="s">
        <v>16</v>
      </c>
      <c r="B5" s="2">
        <v>10912</v>
      </c>
    </row>
    <row r="6" spans="1:2" x14ac:dyDescent="0.3">
      <c r="A6" s="4" t="s">
        <v>105</v>
      </c>
      <c r="B6" s="2">
        <v>11661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L7" sqref="L7"/>
    </sheetView>
  </sheetViews>
  <sheetFormatPr defaultRowHeight="14.4" x14ac:dyDescent="0.3"/>
  <cols>
    <col min="1" max="1" width="12.5546875" bestFit="1" customWidth="1"/>
    <col min="2" max="2" width="15.88671875" bestFit="1" customWidth="1"/>
  </cols>
  <sheetData>
    <row r="3" spans="1:2" x14ac:dyDescent="0.3">
      <c r="A3" s="3" t="s">
        <v>104</v>
      </c>
      <c r="B3" t="s">
        <v>103</v>
      </c>
    </row>
    <row r="4" spans="1:2" x14ac:dyDescent="0.3">
      <c r="A4" s="4" t="s">
        <v>109</v>
      </c>
      <c r="B4" s="2">
        <v>1</v>
      </c>
    </row>
    <row r="5" spans="1:2" x14ac:dyDescent="0.3">
      <c r="A5" s="4" t="s">
        <v>17</v>
      </c>
      <c r="B5" s="2">
        <v>18</v>
      </c>
    </row>
    <row r="6" spans="1:2" x14ac:dyDescent="0.3">
      <c r="A6" s="4" t="s">
        <v>105</v>
      </c>
      <c r="B6" s="2">
        <v>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I27" sqref="I27"/>
    </sheetView>
  </sheetViews>
  <sheetFormatPr defaultRowHeight="14.4" x14ac:dyDescent="0.3"/>
  <cols>
    <col min="1" max="1" width="12.5546875" bestFit="1" customWidth="1"/>
    <col min="2" max="2" width="14.44140625" bestFit="1" customWidth="1"/>
  </cols>
  <sheetData>
    <row r="3" spans="1:2" x14ac:dyDescent="0.3">
      <c r="A3" s="3" t="s">
        <v>104</v>
      </c>
      <c r="B3" t="s">
        <v>102</v>
      </c>
    </row>
    <row r="4" spans="1:2" x14ac:dyDescent="0.3">
      <c r="A4" s="4" t="s">
        <v>49</v>
      </c>
      <c r="B4" s="2">
        <v>2019</v>
      </c>
    </row>
    <row r="5" spans="1:2" x14ac:dyDescent="0.3">
      <c r="A5" s="4" t="s">
        <v>66</v>
      </c>
      <c r="B5" s="2">
        <v>1697</v>
      </c>
    </row>
    <row r="6" spans="1:2" x14ac:dyDescent="0.3">
      <c r="A6" s="4" t="s">
        <v>94</v>
      </c>
      <c r="B6" s="2">
        <v>1598</v>
      </c>
    </row>
    <row r="7" spans="1:2" x14ac:dyDescent="0.3">
      <c r="A7" s="4" t="s">
        <v>72</v>
      </c>
      <c r="B7" s="2">
        <v>1498</v>
      </c>
    </row>
    <row r="8" spans="1:2" x14ac:dyDescent="0.3">
      <c r="A8" s="4" t="s">
        <v>101</v>
      </c>
      <c r="B8" s="2">
        <v>1398</v>
      </c>
    </row>
    <row r="9" spans="1:2" x14ac:dyDescent="0.3">
      <c r="A9" s="4" t="s">
        <v>79</v>
      </c>
      <c r="B9" s="2">
        <v>1398</v>
      </c>
    </row>
    <row r="10" spans="1:2" x14ac:dyDescent="0.3">
      <c r="A10" s="4" t="s">
        <v>105</v>
      </c>
      <c r="B10" s="2">
        <v>9608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O20" sqref="O20"/>
    </sheetView>
  </sheetViews>
  <sheetFormatPr defaultRowHeight="14.4" x14ac:dyDescent="0.3"/>
  <cols>
    <col min="1" max="1" width="15.88671875" bestFit="1" customWidth="1"/>
    <col min="2" max="2" width="15.5546875" bestFit="1" customWidth="1"/>
    <col min="3" max="3" width="7.6640625" customWidth="1"/>
    <col min="4" max="4" width="10.77734375" bestFit="1" customWidth="1"/>
  </cols>
  <sheetData>
    <row r="3" spans="1:4" x14ac:dyDescent="0.3">
      <c r="A3" s="3" t="s">
        <v>103</v>
      </c>
      <c r="B3" s="3" t="s">
        <v>197</v>
      </c>
    </row>
    <row r="4" spans="1:4" x14ac:dyDescent="0.3">
      <c r="A4" s="3" t="s">
        <v>104</v>
      </c>
      <c r="B4" t="s">
        <v>42</v>
      </c>
      <c r="C4" t="s">
        <v>16</v>
      </c>
      <c r="D4" t="s">
        <v>105</v>
      </c>
    </row>
    <row r="5" spans="1:4" x14ac:dyDescent="0.3">
      <c r="A5" s="4" t="s">
        <v>199</v>
      </c>
      <c r="B5" s="6">
        <v>0.15</v>
      </c>
      <c r="C5" s="6">
        <v>0.18333333333333332</v>
      </c>
      <c r="D5" s="6">
        <v>0.33333333333333331</v>
      </c>
    </row>
    <row r="6" spans="1:4" x14ac:dyDescent="0.3">
      <c r="A6" s="4" t="s">
        <v>200</v>
      </c>
      <c r="B6" s="6">
        <v>0.05</v>
      </c>
      <c r="C6" s="6">
        <v>0.26666666666666666</v>
      </c>
      <c r="D6" s="6">
        <v>0.31666666666666665</v>
      </c>
    </row>
    <row r="7" spans="1:4" x14ac:dyDescent="0.3">
      <c r="A7" s="4" t="s">
        <v>198</v>
      </c>
      <c r="B7" s="6">
        <v>0.11666666666666667</v>
      </c>
      <c r="C7" s="6">
        <v>0.21666666666666667</v>
      </c>
      <c r="D7" s="6">
        <v>0.33333333333333331</v>
      </c>
    </row>
    <row r="8" spans="1:4" x14ac:dyDescent="0.3">
      <c r="A8" s="4" t="s">
        <v>195</v>
      </c>
      <c r="B8" s="6">
        <v>0</v>
      </c>
      <c r="C8" s="6">
        <v>1.6666666666666666E-2</v>
      </c>
      <c r="D8" s="6">
        <v>1.6666666666666666E-2</v>
      </c>
    </row>
    <row r="9" spans="1:4" x14ac:dyDescent="0.3">
      <c r="A9" s="4" t="s">
        <v>105</v>
      </c>
      <c r="B9" s="6">
        <v>0.31666666666666665</v>
      </c>
      <c r="C9" s="6">
        <v>0.68333333333333335</v>
      </c>
      <c r="D9" s="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M19" sqref="M19"/>
    </sheetView>
  </sheetViews>
  <sheetFormatPr defaultRowHeight="14.4" x14ac:dyDescent="0.3"/>
  <cols>
    <col min="1" max="1" width="12.5546875" bestFit="1" customWidth="1"/>
    <col min="2" max="2" width="15.88671875" bestFit="1" customWidth="1"/>
  </cols>
  <sheetData>
    <row r="3" spans="1:2" x14ac:dyDescent="0.3">
      <c r="A3" s="3" t="s">
        <v>104</v>
      </c>
      <c r="B3" t="s">
        <v>103</v>
      </c>
    </row>
    <row r="4" spans="1:2" x14ac:dyDescent="0.3">
      <c r="A4" s="4" t="s">
        <v>25</v>
      </c>
      <c r="B4" s="2">
        <v>7</v>
      </c>
    </row>
    <row r="5" spans="1:2" x14ac:dyDescent="0.3">
      <c r="A5" s="4" t="s">
        <v>35</v>
      </c>
      <c r="B5" s="2">
        <v>13</v>
      </c>
    </row>
    <row r="6" spans="1:2" x14ac:dyDescent="0.3">
      <c r="A6" s="4" t="s">
        <v>43</v>
      </c>
      <c r="B6" s="2">
        <v>7</v>
      </c>
    </row>
    <row r="7" spans="1:2" x14ac:dyDescent="0.3">
      <c r="A7" s="4" t="s">
        <v>47</v>
      </c>
      <c r="B7" s="2">
        <v>8</v>
      </c>
    </row>
    <row r="8" spans="1:2" x14ac:dyDescent="0.3">
      <c r="A8" s="4" t="s">
        <v>18</v>
      </c>
      <c r="B8" s="2">
        <v>16</v>
      </c>
    </row>
    <row r="9" spans="1:2" x14ac:dyDescent="0.3">
      <c r="A9" s="4" t="s">
        <v>91</v>
      </c>
      <c r="B9" s="2">
        <v>1</v>
      </c>
    </row>
    <row r="10" spans="1:2" x14ac:dyDescent="0.3">
      <c r="A10" s="4" t="s">
        <v>74</v>
      </c>
      <c r="B10" s="2">
        <v>6</v>
      </c>
    </row>
    <row r="11" spans="1:2" x14ac:dyDescent="0.3">
      <c r="A11" s="4" t="s">
        <v>51</v>
      </c>
      <c r="B11" s="2">
        <v>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selection activeCell="J12" sqref="J12"/>
    </sheetView>
  </sheetViews>
  <sheetFormatPr defaultRowHeight="14.4" x14ac:dyDescent="0.3"/>
  <cols>
    <col min="2" max="2" width="19.6640625" customWidth="1"/>
    <col min="3" max="3" width="11.109375" customWidth="1"/>
    <col min="5" max="5" width="9.33203125" customWidth="1"/>
    <col min="6" max="6" width="10.33203125" bestFit="1" customWidth="1"/>
    <col min="8" max="8" width="18" customWidth="1"/>
    <col min="14" max="14" width="15.6640625" customWidth="1"/>
    <col min="15" max="15" width="15.88671875" customWidth="1"/>
    <col min="16" max="16" width="10.33203125" bestFit="1" customWidth="1"/>
  </cols>
  <sheetData>
    <row r="1" spans="1:18" x14ac:dyDescent="0.3">
      <c r="A1" t="s">
        <v>0</v>
      </c>
      <c r="B1" t="s">
        <v>1</v>
      </c>
      <c r="C1" t="s">
        <v>2</v>
      </c>
      <c r="D1" t="s">
        <v>3</v>
      </c>
      <c r="E1" t="s">
        <v>4</v>
      </c>
      <c r="F1" t="s">
        <v>6</v>
      </c>
      <c r="G1" t="s">
        <v>7</v>
      </c>
      <c r="H1" t="s">
        <v>8</v>
      </c>
      <c r="I1" t="s">
        <v>9</v>
      </c>
      <c r="J1" t="s">
        <v>10</v>
      </c>
      <c r="K1" t="s">
        <v>11</v>
      </c>
      <c r="L1" t="s">
        <v>12</v>
      </c>
      <c r="M1" t="s">
        <v>13</v>
      </c>
      <c r="N1" t="s">
        <v>14</v>
      </c>
      <c r="O1" t="s">
        <v>182</v>
      </c>
      <c r="P1" t="s">
        <v>5</v>
      </c>
      <c r="Q1" t="s">
        <v>201</v>
      </c>
      <c r="R1" t="s">
        <v>7</v>
      </c>
    </row>
    <row r="2" spans="1:18" x14ac:dyDescent="0.3">
      <c r="A2">
        <v>1</v>
      </c>
      <c r="B2" t="s">
        <v>15</v>
      </c>
      <c r="C2">
        <v>1029312</v>
      </c>
      <c r="D2" t="s">
        <v>16</v>
      </c>
      <c r="E2">
        <v>44</v>
      </c>
      <c r="F2" t="s">
        <v>17</v>
      </c>
      <c r="G2" t="s">
        <v>18</v>
      </c>
      <c r="H2" t="s">
        <v>19</v>
      </c>
      <c r="I2" t="s">
        <v>20</v>
      </c>
      <c r="J2" t="s">
        <v>21</v>
      </c>
      <c r="K2">
        <v>1</v>
      </c>
      <c r="L2" t="s">
        <v>22</v>
      </c>
      <c r="M2">
        <v>376</v>
      </c>
      <c r="N2" t="s">
        <v>23</v>
      </c>
      <c r="O2" t="s">
        <v>183</v>
      </c>
      <c r="P2" s="1">
        <v>44562</v>
      </c>
      <c r="Q2" t="s">
        <v>198</v>
      </c>
      <c r="R2" t="s">
        <v>35</v>
      </c>
    </row>
    <row r="3" spans="1:18" x14ac:dyDescent="0.3">
      <c r="A3">
        <v>2</v>
      </c>
      <c r="B3" t="s">
        <v>24</v>
      </c>
      <c r="C3">
        <v>2183842</v>
      </c>
      <c r="D3" t="s">
        <v>16</v>
      </c>
      <c r="E3">
        <v>29</v>
      </c>
      <c r="F3" t="s">
        <v>17</v>
      </c>
      <c r="G3" t="s">
        <v>25</v>
      </c>
      <c r="H3" t="s">
        <v>26</v>
      </c>
      <c r="I3" t="s">
        <v>27</v>
      </c>
      <c r="J3" t="s">
        <v>28</v>
      </c>
      <c r="K3">
        <v>1</v>
      </c>
      <c r="L3" t="s">
        <v>22</v>
      </c>
      <c r="M3">
        <v>1449</v>
      </c>
      <c r="N3" t="s">
        <v>29</v>
      </c>
      <c r="O3" t="s">
        <v>184</v>
      </c>
      <c r="P3" s="1">
        <v>44597</v>
      </c>
      <c r="Q3" t="s">
        <v>199</v>
      </c>
      <c r="R3" t="s">
        <v>47</v>
      </c>
    </row>
    <row r="4" spans="1:18" x14ac:dyDescent="0.3">
      <c r="A4">
        <v>3</v>
      </c>
      <c r="B4" t="s">
        <v>30</v>
      </c>
      <c r="C4">
        <v>1641533</v>
      </c>
      <c r="D4" t="s">
        <v>16</v>
      </c>
      <c r="E4">
        <v>67</v>
      </c>
      <c r="F4" t="s">
        <v>17</v>
      </c>
      <c r="G4" t="s">
        <v>18</v>
      </c>
      <c r="H4" t="s">
        <v>31</v>
      </c>
      <c r="I4" t="s">
        <v>27</v>
      </c>
      <c r="J4" t="s">
        <v>32</v>
      </c>
      <c r="K4">
        <v>1</v>
      </c>
      <c r="L4" t="s">
        <v>22</v>
      </c>
      <c r="M4">
        <v>453</v>
      </c>
      <c r="N4" t="s">
        <v>33</v>
      </c>
      <c r="O4" t="s">
        <v>185</v>
      </c>
      <c r="P4" s="1">
        <v>44630</v>
      </c>
      <c r="Q4" t="s">
        <v>200</v>
      </c>
      <c r="R4" t="s">
        <v>43</v>
      </c>
    </row>
    <row r="5" spans="1:18" x14ac:dyDescent="0.3">
      <c r="A5">
        <v>4</v>
      </c>
      <c r="B5" t="s">
        <v>34</v>
      </c>
      <c r="C5">
        <v>7490807</v>
      </c>
      <c r="D5" t="s">
        <v>16</v>
      </c>
      <c r="E5">
        <v>20</v>
      </c>
      <c r="F5" t="s">
        <v>17</v>
      </c>
      <c r="G5" t="s">
        <v>35</v>
      </c>
      <c r="H5" t="s">
        <v>36</v>
      </c>
      <c r="I5" t="s">
        <v>27</v>
      </c>
      <c r="J5" t="s">
        <v>37</v>
      </c>
      <c r="K5">
        <v>1</v>
      </c>
      <c r="L5" t="s">
        <v>22</v>
      </c>
      <c r="M5">
        <v>729</v>
      </c>
      <c r="N5" t="s">
        <v>38</v>
      </c>
      <c r="O5" t="s">
        <v>186</v>
      </c>
      <c r="P5" s="1">
        <v>44666</v>
      </c>
      <c r="Q5" t="s">
        <v>198</v>
      </c>
      <c r="R5" t="s">
        <v>18</v>
      </c>
    </row>
    <row r="6" spans="1:18" x14ac:dyDescent="0.3">
      <c r="A6">
        <v>5</v>
      </c>
      <c r="B6" t="s">
        <v>39</v>
      </c>
      <c r="C6">
        <v>9293516</v>
      </c>
      <c r="D6" t="s">
        <v>16</v>
      </c>
      <c r="E6">
        <v>62</v>
      </c>
      <c r="F6" t="s">
        <v>17</v>
      </c>
      <c r="G6" t="s">
        <v>18</v>
      </c>
      <c r="H6" t="s">
        <v>40</v>
      </c>
      <c r="I6" t="s">
        <v>20</v>
      </c>
      <c r="J6" t="s">
        <v>21</v>
      </c>
      <c r="K6">
        <v>1</v>
      </c>
      <c r="L6" t="s">
        <v>22</v>
      </c>
      <c r="M6">
        <v>544</v>
      </c>
      <c r="N6" t="s">
        <v>29</v>
      </c>
      <c r="O6" t="s">
        <v>187</v>
      </c>
      <c r="P6" s="1">
        <v>44701</v>
      </c>
      <c r="Q6" t="s">
        <v>199</v>
      </c>
      <c r="R6" t="s">
        <v>35</v>
      </c>
    </row>
    <row r="7" spans="1:18" x14ac:dyDescent="0.3">
      <c r="A7">
        <v>6</v>
      </c>
      <c r="B7" t="s">
        <v>41</v>
      </c>
      <c r="C7">
        <v>1298130</v>
      </c>
      <c r="D7" t="s">
        <v>42</v>
      </c>
      <c r="E7">
        <v>49</v>
      </c>
      <c r="F7" t="s">
        <v>17</v>
      </c>
      <c r="G7" t="s">
        <v>43</v>
      </c>
      <c r="H7" t="s">
        <v>44</v>
      </c>
      <c r="I7" t="s">
        <v>45</v>
      </c>
      <c r="J7" t="s">
        <v>21</v>
      </c>
      <c r="K7">
        <v>1</v>
      </c>
      <c r="L7" t="s">
        <v>22</v>
      </c>
      <c r="M7">
        <v>735</v>
      </c>
      <c r="N7" t="s">
        <v>46</v>
      </c>
      <c r="O7" t="s">
        <v>188</v>
      </c>
      <c r="P7" s="1">
        <v>44737</v>
      </c>
      <c r="Q7" t="s">
        <v>200</v>
      </c>
      <c r="R7" t="s">
        <v>47</v>
      </c>
    </row>
    <row r="8" spans="1:18" x14ac:dyDescent="0.3">
      <c r="A8">
        <v>7</v>
      </c>
      <c r="B8" t="s">
        <v>41</v>
      </c>
      <c r="C8">
        <v>1298130</v>
      </c>
      <c r="D8" t="s">
        <v>16</v>
      </c>
      <c r="E8">
        <v>23</v>
      </c>
      <c r="F8" t="s">
        <v>17</v>
      </c>
      <c r="G8" t="s">
        <v>47</v>
      </c>
      <c r="H8" t="s">
        <v>48</v>
      </c>
      <c r="I8" t="s">
        <v>20</v>
      </c>
      <c r="J8" t="s">
        <v>21</v>
      </c>
      <c r="K8">
        <v>1</v>
      </c>
      <c r="L8" t="s">
        <v>22</v>
      </c>
      <c r="M8">
        <v>735</v>
      </c>
      <c r="N8" t="s">
        <v>49</v>
      </c>
      <c r="O8" t="s">
        <v>189</v>
      </c>
      <c r="P8" s="1">
        <v>44745</v>
      </c>
      <c r="Q8" t="s">
        <v>198</v>
      </c>
      <c r="R8" t="s">
        <v>43</v>
      </c>
    </row>
    <row r="9" spans="1:18" x14ac:dyDescent="0.3">
      <c r="A9">
        <v>8</v>
      </c>
      <c r="B9" t="s">
        <v>50</v>
      </c>
      <c r="C9">
        <v>5561216</v>
      </c>
      <c r="D9" t="s">
        <v>16</v>
      </c>
      <c r="E9">
        <v>70</v>
      </c>
      <c r="F9" t="s">
        <v>17</v>
      </c>
      <c r="G9" t="s">
        <v>51</v>
      </c>
      <c r="H9" t="s">
        <v>52</v>
      </c>
      <c r="I9" t="s">
        <v>20</v>
      </c>
      <c r="J9" t="s">
        <v>37</v>
      </c>
      <c r="K9">
        <v>1</v>
      </c>
      <c r="L9" t="s">
        <v>22</v>
      </c>
      <c r="M9">
        <v>435</v>
      </c>
      <c r="N9" t="s">
        <v>29</v>
      </c>
      <c r="O9" t="s">
        <v>190</v>
      </c>
      <c r="P9" s="1">
        <v>44781</v>
      </c>
      <c r="Q9" t="s">
        <v>199</v>
      </c>
      <c r="R9" t="s">
        <v>18</v>
      </c>
    </row>
    <row r="10" spans="1:18" x14ac:dyDescent="0.3">
      <c r="A10">
        <v>9</v>
      </c>
      <c r="B10" t="s">
        <v>53</v>
      </c>
      <c r="C10">
        <v>2935263</v>
      </c>
      <c r="D10" t="s">
        <v>16</v>
      </c>
      <c r="E10">
        <v>75</v>
      </c>
      <c r="F10" t="s">
        <v>17</v>
      </c>
      <c r="G10" t="s">
        <v>35</v>
      </c>
      <c r="H10" t="s">
        <v>54</v>
      </c>
      <c r="I10" t="s">
        <v>20</v>
      </c>
      <c r="J10" t="s">
        <v>55</v>
      </c>
      <c r="K10">
        <v>1</v>
      </c>
      <c r="L10" t="s">
        <v>22</v>
      </c>
      <c r="M10">
        <v>385</v>
      </c>
      <c r="N10" t="s">
        <v>49</v>
      </c>
      <c r="O10" t="s">
        <v>191</v>
      </c>
      <c r="P10" s="1">
        <v>44816</v>
      </c>
      <c r="Q10" t="s">
        <v>200</v>
      </c>
      <c r="R10" t="s">
        <v>35</v>
      </c>
    </row>
    <row r="11" spans="1:18" x14ac:dyDescent="0.3">
      <c r="A11">
        <v>10</v>
      </c>
      <c r="B11" t="s">
        <v>56</v>
      </c>
      <c r="C11">
        <v>2648970</v>
      </c>
      <c r="D11" t="s">
        <v>16</v>
      </c>
      <c r="E11">
        <v>43</v>
      </c>
      <c r="F11" t="s">
        <v>17</v>
      </c>
      <c r="G11" t="s">
        <v>18</v>
      </c>
      <c r="H11" t="s">
        <v>57</v>
      </c>
      <c r="I11" t="s">
        <v>20</v>
      </c>
      <c r="J11" t="s">
        <v>28</v>
      </c>
      <c r="K11">
        <v>1</v>
      </c>
      <c r="L11" t="s">
        <v>22</v>
      </c>
      <c r="M11">
        <v>399</v>
      </c>
      <c r="N11" t="s">
        <v>58</v>
      </c>
      <c r="O11" t="s">
        <v>192</v>
      </c>
      <c r="P11" s="1">
        <v>44852</v>
      </c>
      <c r="Q11" t="s">
        <v>198</v>
      </c>
      <c r="R11" t="s">
        <v>47</v>
      </c>
    </row>
    <row r="12" spans="1:18" x14ac:dyDescent="0.3">
      <c r="A12">
        <v>11</v>
      </c>
      <c r="B12" t="s">
        <v>56</v>
      </c>
      <c r="C12">
        <v>2648970</v>
      </c>
      <c r="D12" t="s">
        <v>16</v>
      </c>
      <c r="E12">
        <v>76</v>
      </c>
      <c r="F12" t="s">
        <v>17</v>
      </c>
      <c r="G12" t="s">
        <v>35</v>
      </c>
      <c r="H12" t="s">
        <v>59</v>
      </c>
      <c r="I12" t="s">
        <v>20</v>
      </c>
      <c r="J12" t="s">
        <v>32</v>
      </c>
      <c r="K12">
        <v>1</v>
      </c>
      <c r="L12" t="s">
        <v>22</v>
      </c>
      <c r="M12">
        <v>499</v>
      </c>
      <c r="N12" t="s">
        <v>60</v>
      </c>
      <c r="O12" t="s">
        <v>193</v>
      </c>
      <c r="P12" s="1">
        <v>44887</v>
      </c>
      <c r="Q12" t="s">
        <v>199</v>
      </c>
      <c r="R12" t="s">
        <v>43</v>
      </c>
    </row>
    <row r="13" spans="1:18" x14ac:dyDescent="0.3">
      <c r="A13">
        <v>12</v>
      </c>
      <c r="B13" t="s">
        <v>56</v>
      </c>
      <c r="C13">
        <v>2648970</v>
      </c>
      <c r="D13" t="s">
        <v>16</v>
      </c>
      <c r="E13">
        <v>45</v>
      </c>
      <c r="F13" t="s">
        <v>17</v>
      </c>
      <c r="G13" t="s">
        <v>18</v>
      </c>
      <c r="H13" t="s">
        <v>61</v>
      </c>
      <c r="I13" t="s">
        <v>62</v>
      </c>
      <c r="J13" t="s">
        <v>37</v>
      </c>
      <c r="K13">
        <v>1</v>
      </c>
      <c r="L13" t="s">
        <v>22</v>
      </c>
      <c r="M13">
        <v>299</v>
      </c>
      <c r="N13" t="s">
        <v>63</v>
      </c>
      <c r="O13" t="s">
        <v>181</v>
      </c>
      <c r="P13" s="1">
        <v>44925</v>
      </c>
      <c r="Q13" t="s">
        <v>200</v>
      </c>
      <c r="R13" t="s">
        <v>18</v>
      </c>
    </row>
    <row r="14" spans="1:18" x14ac:dyDescent="0.3">
      <c r="A14">
        <v>13</v>
      </c>
      <c r="B14" t="s">
        <v>64</v>
      </c>
      <c r="C14">
        <v>265357</v>
      </c>
      <c r="D14" t="s">
        <v>16</v>
      </c>
      <c r="E14">
        <v>18</v>
      </c>
      <c r="F14" t="s">
        <v>17</v>
      </c>
      <c r="G14" t="s">
        <v>35</v>
      </c>
      <c r="H14" t="s">
        <v>65</v>
      </c>
      <c r="I14" t="s">
        <v>27</v>
      </c>
      <c r="J14" t="s">
        <v>55</v>
      </c>
      <c r="K14">
        <v>1</v>
      </c>
      <c r="L14" t="s">
        <v>22</v>
      </c>
      <c r="M14">
        <v>899</v>
      </c>
      <c r="N14" t="s">
        <v>66</v>
      </c>
      <c r="O14" t="s">
        <v>194</v>
      </c>
      <c r="P14" s="1">
        <v>44565</v>
      </c>
      <c r="Q14" t="s">
        <v>198</v>
      </c>
      <c r="R14" t="s">
        <v>35</v>
      </c>
    </row>
    <row r="15" spans="1:18" x14ac:dyDescent="0.3">
      <c r="A15">
        <v>14</v>
      </c>
      <c r="B15" t="s">
        <v>67</v>
      </c>
      <c r="C15">
        <v>9268874</v>
      </c>
      <c r="D15" t="s">
        <v>42</v>
      </c>
      <c r="E15">
        <v>44</v>
      </c>
      <c r="F15" t="s">
        <v>17</v>
      </c>
      <c r="G15" t="s">
        <v>18</v>
      </c>
      <c r="H15" t="s">
        <v>68</v>
      </c>
      <c r="I15" t="s">
        <v>27</v>
      </c>
      <c r="J15" t="s">
        <v>37</v>
      </c>
      <c r="K15">
        <v>1</v>
      </c>
      <c r="L15" t="s">
        <v>22</v>
      </c>
      <c r="M15">
        <v>799</v>
      </c>
      <c r="N15" t="s">
        <v>69</v>
      </c>
      <c r="O15" t="s">
        <v>184</v>
      </c>
      <c r="P15" s="1">
        <v>44601</v>
      </c>
      <c r="Q15" t="s">
        <v>199</v>
      </c>
      <c r="R15" t="s">
        <v>47</v>
      </c>
    </row>
    <row r="16" spans="1:18" x14ac:dyDescent="0.3">
      <c r="A16">
        <v>15</v>
      </c>
      <c r="B16" t="s">
        <v>70</v>
      </c>
      <c r="C16">
        <v>442660</v>
      </c>
      <c r="D16" t="s">
        <v>16</v>
      </c>
      <c r="E16">
        <v>52</v>
      </c>
      <c r="F16" t="s">
        <v>17</v>
      </c>
      <c r="G16" t="s">
        <v>35</v>
      </c>
      <c r="H16" t="s">
        <v>71</v>
      </c>
      <c r="I16" t="s">
        <v>27</v>
      </c>
      <c r="J16" t="s">
        <v>37</v>
      </c>
      <c r="K16">
        <v>1</v>
      </c>
      <c r="L16" t="s">
        <v>22</v>
      </c>
      <c r="M16">
        <v>699</v>
      </c>
      <c r="N16" t="s">
        <v>72</v>
      </c>
      <c r="O16" t="s">
        <v>185</v>
      </c>
      <c r="P16" s="1">
        <v>44634</v>
      </c>
      <c r="Q16" t="s">
        <v>200</v>
      </c>
      <c r="R16" t="s">
        <v>43</v>
      </c>
    </row>
    <row r="17" spans="1:18" x14ac:dyDescent="0.3">
      <c r="A17">
        <v>16</v>
      </c>
      <c r="B17" t="s">
        <v>73</v>
      </c>
      <c r="C17">
        <v>7482261</v>
      </c>
      <c r="D17" t="s">
        <v>16</v>
      </c>
      <c r="E17">
        <v>18</v>
      </c>
      <c r="F17" t="s">
        <v>17</v>
      </c>
      <c r="G17" t="s">
        <v>74</v>
      </c>
      <c r="H17" t="s">
        <v>75</v>
      </c>
      <c r="I17" t="s">
        <v>62</v>
      </c>
      <c r="J17" t="s">
        <v>28</v>
      </c>
      <c r="K17">
        <v>1</v>
      </c>
      <c r="L17" t="s">
        <v>22</v>
      </c>
      <c r="M17">
        <v>349</v>
      </c>
      <c r="N17" t="s">
        <v>76</v>
      </c>
      <c r="O17" t="s">
        <v>186</v>
      </c>
      <c r="P17" s="1">
        <v>44670</v>
      </c>
      <c r="Q17" t="s">
        <v>198</v>
      </c>
      <c r="R17" t="s">
        <v>18</v>
      </c>
    </row>
    <row r="18" spans="1:18" x14ac:dyDescent="0.3">
      <c r="A18">
        <v>17</v>
      </c>
      <c r="B18" t="s">
        <v>77</v>
      </c>
      <c r="C18">
        <v>7039962</v>
      </c>
      <c r="D18" t="s">
        <v>42</v>
      </c>
      <c r="E18">
        <v>30</v>
      </c>
      <c r="F18" t="s">
        <v>17</v>
      </c>
      <c r="G18" t="s">
        <v>47</v>
      </c>
      <c r="H18" t="s">
        <v>78</v>
      </c>
      <c r="I18" t="s">
        <v>27</v>
      </c>
      <c r="J18" t="s">
        <v>55</v>
      </c>
      <c r="K18">
        <v>1</v>
      </c>
      <c r="L18" t="s">
        <v>22</v>
      </c>
      <c r="M18">
        <v>999</v>
      </c>
      <c r="N18" t="s">
        <v>79</v>
      </c>
      <c r="O18" t="s">
        <v>187</v>
      </c>
      <c r="P18" s="1">
        <v>44705</v>
      </c>
      <c r="Q18" t="s">
        <v>199</v>
      </c>
      <c r="R18" t="s">
        <v>35</v>
      </c>
    </row>
    <row r="19" spans="1:18" x14ac:dyDescent="0.3">
      <c r="A19">
        <v>18</v>
      </c>
      <c r="B19" t="s">
        <v>80</v>
      </c>
      <c r="C19">
        <v>3422488</v>
      </c>
      <c r="D19" t="s">
        <v>16</v>
      </c>
      <c r="E19">
        <v>48</v>
      </c>
      <c r="F19" t="s">
        <v>17</v>
      </c>
      <c r="G19" t="s">
        <v>51</v>
      </c>
      <c r="H19" t="s">
        <v>81</v>
      </c>
      <c r="I19" t="s">
        <v>27</v>
      </c>
      <c r="J19" t="s">
        <v>82</v>
      </c>
      <c r="K19">
        <v>1</v>
      </c>
      <c r="L19" t="s">
        <v>22</v>
      </c>
      <c r="M19">
        <v>599</v>
      </c>
      <c r="N19" t="s">
        <v>83</v>
      </c>
      <c r="O19" t="s">
        <v>188</v>
      </c>
      <c r="P19" s="1">
        <v>44740</v>
      </c>
      <c r="Q19" t="s">
        <v>200</v>
      </c>
      <c r="R19" t="s">
        <v>47</v>
      </c>
    </row>
    <row r="20" spans="1:18" x14ac:dyDescent="0.3">
      <c r="A20">
        <v>19</v>
      </c>
      <c r="B20" t="s">
        <v>84</v>
      </c>
      <c r="C20">
        <v>8974687</v>
      </c>
      <c r="D20" t="s">
        <v>42</v>
      </c>
      <c r="E20">
        <v>24</v>
      </c>
      <c r="F20" t="s">
        <v>17</v>
      </c>
      <c r="G20" t="s">
        <v>18</v>
      </c>
      <c r="H20" t="s">
        <v>85</v>
      </c>
      <c r="I20" t="s">
        <v>45</v>
      </c>
      <c r="J20" t="s">
        <v>21</v>
      </c>
      <c r="K20">
        <v>1</v>
      </c>
      <c r="L20" t="s">
        <v>22</v>
      </c>
      <c r="M20">
        <v>1199</v>
      </c>
      <c r="N20" t="s">
        <v>86</v>
      </c>
      <c r="O20" t="s">
        <v>189</v>
      </c>
      <c r="P20" s="1">
        <v>44748</v>
      </c>
      <c r="Q20" t="s">
        <v>198</v>
      </c>
      <c r="R20" t="s">
        <v>43</v>
      </c>
    </row>
    <row r="21" spans="1:18" x14ac:dyDescent="0.3">
      <c r="A21">
        <v>20</v>
      </c>
      <c r="B21" t="s">
        <v>87</v>
      </c>
      <c r="C21">
        <v>244536</v>
      </c>
      <c r="D21" t="s">
        <v>16</v>
      </c>
      <c r="E21">
        <v>46</v>
      </c>
      <c r="F21" t="s">
        <v>17</v>
      </c>
      <c r="G21" t="s">
        <v>35</v>
      </c>
      <c r="H21" t="s">
        <v>88</v>
      </c>
      <c r="I21" t="s">
        <v>27</v>
      </c>
      <c r="J21" t="s">
        <v>37</v>
      </c>
      <c r="K21">
        <v>1</v>
      </c>
      <c r="L21" t="s">
        <v>22</v>
      </c>
      <c r="M21">
        <v>649</v>
      </c>
      <c r="N21" t="s">
        <v>89</v>
      </c>
      <c r="O21" t="s">
        <v>190</v>
      </c>
      <c r="P21" s="1">
        <v>44784</v>
      </c>
      <c r="Q21" t="s">
        <v>199</v>
      </c>
      <c r="R21" t="s">
        <v>18</v>
      </c>
    </row>
    <row r="22" spans="1:18" x14ac:dyDescent="0.3">
      <c r="A22">
        <v>21</v>
      </c>
      <c r="B22" t="s">
        <v>90</v>
      </c>
      <c r="C22">
        <v>4376789</v>
      </c>
      <c r="D22" t="s">
        <v>16</v>
      </c>
      <c r="E22">
        <v>43</v>
      </c>
      <c r="F22" t="s">
        <v>17</v>
      </c>
      <c r="G22" t="s">
        <v>91</v>
      </c>
      <c r="H22" t="s">
        <v>92</v>
      </c>
      <c r="I22" t="s">
        <v>27</v>
      </c>
      <c r="J22" t="s">
        <v>93</v>
      </c>
      <c r="K22">
        <v>1</v>
      </c>
      <c r="L22" t="s">
        <v>22</v>
      </c>
      <c r="M22">
        <v>1299</v>
      </c>
      <c r="N22" t="s">
        <v>94</v>
      </c>
      <c r="O22" t="s">
        <v>191</v>
      </c>
      <c r="P22" s="1">
        <v>44817</v>
      </c>
      <c r="Q22" t="s">
        <v>200</v>
      </c>
      <c r="R22" t="s">
        <v>35</v>
      </c>
    </row>
    <row r="23" spans="1:18" x14ac:dyDescent="0.3">
      <c r="A23">
        <v>22</v>
      </c>
      <c r="B23" t="s">
        <v>95</v>
      </c>
      <c r="C23">
        <v>1943310</v>
      </c>
      <c r="D23" t="s">
        <v>42</v>
      </c>
      <c r="E23">
        <v>31</v>
      </c>
      <c r="F23" t="s">
        <v>96</v>
      </c>
      <c r="G23" t="s">
        <v>18</v>
      </c>
      <c r="H23" t="s">
        <v>97</v>
      </c>
      <c r="I23" t="s">
        <v>45</v>
      </c>
      <c r="J23" t="s">
        <v>21</v>
      </c>
      <c r="K23">
        <v>1</v>
      </c>
      <c r="L23" t="s">
        <v>22</v>
      </c>
      <c r="M23">
        <v>1099</v>
      </c>
      <c r="N23" t="s">
        <v>98</v>
      </c>
      <c r="O23" t="s">
        <v>192</v>
      </c>
      <c r="P23" s="1">
        <v>44851</v>
      </c>
      <c r="Q23" t="s">
        <v>198</v>
      </c>
      <c r="R23" t="s">
        <v>47</v>
      </c>
    </row>
    <row r="24" spans="1:18" x14ac:dyDescent="0.3">
      <c r="A24">
        <v>23</v>
      </c>
      <c r="B24" t="s">
        <v>99</v>
      </c>
      <c r="C24">
        <v>950590</v>
      </c>
      <c r="D24" t="s">
        <v>42</v>
      </c>
      <c r="E24">
        <v>30</v>
      </c>
      <c r="F24" t="s">
        <v>17</v>
      </c>
      <c r="G24" t="s">
        <v>18</v>
      </c>
      <c r="H24" t="s">
        <v>100</v>
      </c>
      <c r="I24" t="s">
        <v>27</v>
      </c>
      <c r="J24" t="s">
        <v>93</v>
      </c>
      <c r="K24">
        <v>1</v>
      </c>
      <c r="L24" t="s">
        <v>22</v>
      </c>
      <c r="M24">
        <v>1399</v>
      </c>
      <c r="N24" t="s">
        <v>101</v>
      </c>
      <c r="O24" t="s">
        <v>193</v>
      </c>
      <c r="P24" s="1">
        <v>44886</v>
      </c>
      <c r="Q24" t="s">
        <v>199</v>
      </c>
      <c r="R24" t="s">
        <v>43</v>
      </c>
    </row>
    <row r="25" spans="1:18" x14ac:dyDescent="0.3">
      <c r="A25">
        <v>24</v>
      </c>
      <c r="B25" t="s">
        <v>106</v>
      </c>
      <c r="C25">
        <v>6789123</v>
      </c>
      <c r="D25" t="s">
        <v>16</v>
      </c>
      <c r="E25">
        <v>28</v>
      </c>
      <c r="F25" t="s">
        <v>17</v>
      </c>
      <c r="G25" t="s">
        <v>35</v>
      </c>
      <c r="H25" t="s">
        <v>107</v>
      </c>
      <c r="I25" t="s">
        <v>20</v>
      </c>
      <c r="J25" t="s">
        <v>37</v>
      </c>
      <c r="K25">
        <v>1</v>
      </c>
      <c r="L25" t="s">
        <v>22</v>
      </c>
      <c r="M25">
        <v>599</v>
      </c>
      <c r="N25" t="s">
        <v>66</v>
      </c>
      <c r="O25" t="s">
        <v>181</v>
      </c>
      <c r="P25" s="1">
        <v>44922</v>
      </c>
      <c r="Q25" t="s">
        <v>200</v>
      </c>
      <c r="R25" t="s">
        <v>18</v>
      </c>
    </row>
    <row r="26" spans="1:18" x14ac:dyDescent="0.3">
      <c r="A26">
        <v>25</v>
      </c>
      <c r="B26" t="s">
        <v>108</v>
      </c>
      <c r="C26">
        <v>7891234</v>
      </c>
      <c r="D26" t="s">
        <v>42</v>
      </c>
      <c r="E26">
        <v>35</v>
      </c>
      <c r="F26" t="s">
        <v>109</v>
      </c>
      <c r="G26" t="s">
        <v>18</v>
      </c>
      <c r="H26" t="s">
        <v>110</v>
      </c>
      <c r="I26" t="s">
        <v>27</v>
      </c>
      <c r="J26" t="s">
        <v>28</v>
      </c>
      <c r="K26">
        <v>1</v>
      </c>
      <c r="L26" t="s">
        <v>22</v>
      </c>
      <c r="M26">
        <v>899</v>
      </c>
      <c r="N26" t="s">
        <v>69</v>
      </c>
      <c r="O26" t="s">
        <v>194</v>
      </c>
      <c r="P26" s="1">
        <v>44563</v>
      </c>
      <c r="Q26" t="s">
        <v>198</v>
      </c>
      <c r="R26" t="s">
        <v>35</v>
      </c>
    </row>
    <row r="27" spans="1:18" x14ac:dyDescent="0.3">
      <c r="A27">
        <v>26</v>
      </c>
      <c r="B27" t="s">
        <v>111</v>
      </c>
      <c r="C27">
        <v>8912345</v>
      </c>
      <c r="D27" t="s">
        <v>16</v>
      </c>
      <c r="E27">
        <v>42</v>
      </c>
      <c r="F27" t="s">
        <v>17</v>
      </c>
      <c r="G27" t="s">
        <v>43</v>
      </c>
      <c r="H27" t="s">
        <v>112</v>
      </c>
      <c r="I27" t="s">
        <v>62</v>
      </c>
      <c r="J27" t="s">
        <v>32</v>
      </c>
      <c r="K27">
        <v>1</v>
      </c>
      <c r="L27" t="s">
        <v>22</v>
      </c>
      <c r="M27">
        <v>399</v>
      </c>
      <c r="N27" t="s">
        <v>98</v>
      </c>
      <c r="O27" t="s">
        <v>184</v>
      </c>
      <c r="P27" s="1">
        <v>44599</v>
      </c>
      <c r="Q27" t="s">
        <v>199</v>
      </c>
      <c r="R27" t="s">
        <v>47</v>
      </c>
    </row>
    <row r="28" spans="1:18" x14ac:dyDescent="0.3">
      <c r="A28">
        <v>27</v>
      </c>
      <c r="B28" t="s">
        <v>113</v>
      </c>
      <c r="C28">
        <v>9123456</v>
      </c>
      <c r="D28" t="s">
        <v>16</v>
      </c>
      <c r="E28">
        <v>23</v>
      </c>
      <c r="F28" t="s">
        <v>96</v>
      </c>
      <c r="G28" t="s">
        <v>25</v>
      </c>
      <c r="H28" t="s">
        <v>114</v>
      </c>
      <c r="I28" t="s">
        <v>45</v>
      </c>
      <c r="J28" t="s">
        <v>55</v>
      </c>
      <c r="K28">
        <v>1</v>
      </c>
      <c r="L28" t="s">
        <v>22</v>
      </c>
      <c r="M28">
        <v>1099</v>
      </c>
      <c r="N28" t="s">
        <v>94</v>
      </c>
      <c r="O28" t="s">
        <v>185</v>
      </c>
      <c r="P28" s="1">
        <v>44631</v>
      </c>
      <c r="Q28" t="s">
        <v>200</v>
      </c>
      <c r="R28" t="s">
        <v>43</v>
      </c>
    </row>
    <row r="29" spans="1:18" x14ac:dyDescent="0.3">
      <c r="A29">
        <v>28</v>
      </c>
      <c r="B29" t="s">
        <v>115</v>
      </c>
      <c r="C29">
        <v>1234567</v>
      </c>
      <c r="D29" t="s">
        <v>42</v>
      </c>
      <c r="E29">
        <v>31</v>
      </c>
      <c r="F29" t="s">
        <v>17</v>
      </c>
      <c r="G29" t="s">
        <v>47</v>
      </c>
      <c r="H29" t="s">
        <v>116</v>
      </c>
      <c r="I29" t="s">
        <v>20</v>
      </c>
      <c r="J29" t="s">
        <v>21</v>
      </c>
      <c r="K29">
        <v>1</v>
      </c>
      <c r="L29" t="s">
        <v>22</v>
      </c>
      <c r="M29">
        <v>749</v>
      </c>
      <c r="N29" t="s">
        <v>72</v>
      </c>
      <c r="O29" t="s">
        <v>186</v>
      </c>
      <c r="P29" s="1">
        <v>44667</v>
      </c>
      <c r="Q29" t="s">
        <v>198</v>
      </c>
      <c r="R29" t="s">
        <v>18</v>
      </c>
    </row>
    <row r="30" spans="1:18" x14ac:dyDescent="0.3">
      <c r="A30">
        <v>29</v>
      </c>
      <c r="B30" t="s">
        <v>117</v>
      </c>
      <c r="C30">
        <v>2345678</v>
      </c>
      <c r="D30" t="s">
        <v>16</v>
      </c>
      <c r="E30">
        <v>27</v>
      </c>
      <c r="F30" t="s">
        <v>17</v>
      </c>
      <c r="G30" t="s">
        <v>74</v>
      </c>
      <c r="H30" t="s">
        <v>118</v>
      </c>
      <c r="I30" t="s">
        <v>27</v>
      </c>
      <c r="J30" t="s">
        <v>37</v>
      </c>
      <c r="K30">
        <v>1</v>
      </c>
      <c r="L30" t="s">
        <v>22</v>
      </c>
      <c r="M30">
        <v>1299</v>
      </c>
      <c r="N30" t="s">
        <v>76</v>
      </c>
      <c r="O30" t="s">
        <v>187</v>
      </c>
      <c r="P30" s="1">
        <v>44704</v>
      </c>
      <c r="Q30" t="s">
        <v>199</v>
      </c>
      <c r="R30" t="s">
        <v>35</v>
      </c>
    </row>
    <row r="31" spans="1:18" x14ac:dyDescent="0.3">
      <c r="A31">
        <v>30</v>
      </c>
      <c r="B31" t="s">
        <v>119</v>
      </c>
      <c r="C31">
        <v>3456789</v>
      </c>
      <c r="D31" t="s">
        <v>42</v>
      </c>
      <c r="E31">
        <v>40</v>
      </c>
      <c r="F31" t="s">
        <v>109</v>
      </c>
      <c r="G31" t="s">
        <v>35</v>
      </c>
      <c r="H31" t="s">
        <v>120</v>
      </c>
      <c r="I31" t="s">
        <v>62</v>
      </c>
      <c r="J31" t="s">
        <v>28</v>
      </c>
      <c r="K31">
        <v>1</v>
      </c>
      <c r="L31" t="s">
        <v>22</v>
      </c>
      <c r="M31">
        <v>499</v>
      </c>
      <c r="N31" t="s">
        <v>101</v>
      </c>
      <c r="O31" t="s">
        <v>188</v>
      </c>
      <c r="P31" s="1">
        <v>44741</v>
      </c>
      <c r="Q31" t="s">
        <v>200</v>
      </c>
      <c r="R31" t="s">
        <v>47</v>
      </c>
    </row>
    <row r="32" spans="1:18" x14ac:dyDescent="0.3">
      <c r="A32">
        <v>31</v>
      </c>
      <c r="B32" t="s">
        <v>121</v>
      </c>
      <c r="C32">
        <v>4567890</v>
      </c>
      <c r="D32" t="s">
        <v>16</v>
      </c>
      <c r="E32">
        <v>36</v>
      </c>
      <c r="F32" t="s">
        <v>17</v>
      </c>
      <c r="G32" t="s">
        <v>18</v>
      </c>
      <c r="H32" t="s">
        <v>122</v>
      </c>
      <c r="I32" t="s">
        <v>20</v>
      </c>
      <c r="J32" t="s">
        <v>32</v>
      </c>
      <c r="K32">
        <v>1</v>
      </c>
      <c r="L32" t="s">
        <v>22</v>
      </c>
      <c r="M32">
        <v>699</v>
      </c>
      <c r="N32" t="s">
        <v>79</v>
      </c>
      <c r="O32" t="s">
        <v>189</v>
      </c>
      <c r="P32" s="1">
        <v>44747</v>
      </c>
      <c r="Q32" t="s">
        <v>198</v>
      </c>
      <c r="R32" t="s">
        <v>43</v>
      </c>
    </row>
    <row r="33" spans="1:18" x14ac:dyDescent="0.3">
      <c r="A33">
        <v>32</v>
      </c>
      <c r="B33" t="s">
        <v>123</v>
      </c>
      <c r="C33">
        <v>5678901</v>
      </c>
      <c r="D33" t="s">
        <v>16</v>
      </c>
      <c r="E33">
        <v>21</v>
      </c>
      <c r="F33" t="s">
        <v>17</v>
      </c>
      <c r="G33" t="s">
        <v>43</v>
      </c>
      <c r="H33" t="s">
        <v>124</v>
      </c>
      <c r="I33" t="s">
        <v>27</v>
      </c>
      <c r="J33" t="s">
        <v>55</v>
      </c>
      <c r="K33">
        <v>1</v>
      </c>
      <c r="L33" t="s">
        <v>22</v>
      </c>
      <c r="M33">
        <v>999</v>
      </c>
      <c r="N33" t="s">
        <v>33</v>
      </c>
      <c r="O33" t="s">
        <v>190</v>
      </c>
      <c r="P33" s="1">
        <v>44782</v>
      </c>
      <c r="Q33" t="s">
        <v>199</v>
      </c>
      <c r="R33" t="s">
        <v>18</v>
      </c>
    </row>
    <row r="34" spans="1:18" x14ac:dyDescent="0.3">
      <c r="A34">
        <v>33</v>
      </c>
      <c r="B34" t="s">
        <v>125</v>
      </c>
      <c r="C34">
        <v>6789012</v>
      </c>
      <c r="D34" t="s">
        <v>42</v>
      </c>
      <c r="E34">
        <v>29</v>
      </c>
      <c r="F34" t="s">
        <v>96</v>
      </c>
      <c r="G34" t="s">
        <v>25</v>
      </c>
      <c r="H34" t="s">
        <v>126</v>
      </c>
      <c r="I34" t="s">
        <v>45</v>
      </c>
      <c r="J34" t="s">
        <v>37</v>
      </c>
      <c r="K34">
        <v>1</v>
      </c>
      <c r="L34" t="s">
        <v>22</v>
      </c>
      <c r="M34">
        <v>1199</v>
      </c>
      <c r="N34" t="s">
        <v>49</v>
      </c>
      <c r="O34" t="s">
        <v>191</v>
      </c>
      <c r="P34" s="1">
        <v>44818</v>
      </c>
      <c r="Q34" t="s">
        <v>200</v>
      </c>
      <c r="R34" t="s">
        <v>35</v>
      </c>
    </row>
    <row r="35" spans="1:18" x14ac:dyDescent="0.3">
      <c r="A35">
        <v>34</v>
      </c>
      <c r="B35" t="s">
        <v>127</v>
      </c>
      <c r="C35">
        <v>7890123</v>
      </c>
      <c r="D35" t="s">
        <v>16</v>
      </c>
      <c r="E35">
        <v>50</v>
      </c>
      <c r="F35" t="s">
        <v>17</v>
      </c>
      <c r="G35" t="s">
        <v>47</v>
      </c>
      <c r="H35" t="s">
        <v>128</v>
      </c>
      <c r="I35" t="s">
        <v>20</v>
      </c>
      <c r="J35" t="s">
        <v>28</v>
      </c>
      <c r="K35">
        <v>1</v>
      </c>
      <c r="L35" t="s">
        <v>22</v>
      </c>
      <c r="M35">
        <v>549</v>
      </c>
      <c r="N35" t="s">
        <v>66</v>
      </c>
      <c r="O35" t="s">
        <v>192</v>
      </c>
      <c r="P35" s="1">
        <v>44853</v>
      </c>
      <c r="Q35" t="s">
        <v>198</v>
      </c>
      <c r="R35" t="s">
        <v>47</v>
      </c>
    </row>
    <row r="36" spans="1:18" x14ac:dyDescent="0.3">
      <c r="A36">
        <v>35</v>
      </c>
      <c r="B36" t="s">
        <v>129</v>
      </c>
      <c r="C36">
        <v>8901234</v>
      </c>
      <c r="D36" t="s">
        <v>42</v>
      </c>
      <c r="E36">
        <v>33</v>
      </c>
      <c r="F36" t="s">
        <v>17</v>
      </c>
      <c r="G36" t="s">
        <v>74</v>
      </c>
      <c r="H36" t="s">
        <v>130</v>
      </c>
      <c r="I36" t="s">
        <v>27</v>
      </c>
      <c r="J36" t="s">
        <v>32</v>
      </c>
      <c r="K36">
        <v>1</v>
      </c>
      <c r="L36" t="s">
        <v>22</v>
      </c>
      <c r="M36">
        <v>899</v>
      </c>
      <c r="N36" t="s">
        <v>69</v>
      </c>
      <c r="O36" t="s">
        <v>193</v>
      </c>
      <c r="P36" s="1">
        <v>44891</v>
      </c>
      <c r="Q36" t="s">
        <v>199</v>
      </c>
      <c r="R36" t="s">
        <v>43</v>
      </c>
    </row>
    <row r="37" spans="1:18" x14ac:dyDescent="0.3">
      <c r="A37">
        <v>36</v>
      </c>
      <c r="B37" t="s">
        <v>131</v>
      </c>
      <c r="C37">
        <v>9012345</v>
      </c>
      <c r="D37" t="s">
        <v>16</v>
      </c>
      <c r="E37">
        <v>45</v>
      </c>
      <c r="F37" t="s">
        <v>109</v>
      </c>
      <c r="G37" t="s">
        <v>35</v>
      </c>
      <c r="H37" t="s">
        <v>132</v>
      </c>
      <c r="I37" t="s">
        <v>62</v>
      </c>
      <c r="J37" t="s">
        <v>21</v>
      </c>
      <c r="K37">
        <v>1</v>
      </c>
      <c r="L37" t="s">
        <v>22</v>
      </c>
      <c r="M37">
        <v>349</v>
      </c>
      <c r="N37" t="s">
        <v>98</v>
      </c>
      <c r="O37" t="s">
        <v>181</v>
      </c>
      <c r="P37" s="1">
        <v>44892</v>
      </c>
      <c r="Q37" t="s">
        <v>200</v>
      </c>
      <c r="R37" t="s">
        <v>18</v>
      </c>
    </row>
    <row r="38" spans="1:18" x14ac:dyDescent="0.3">
      <c r="A38">
        <v>37</v>
      </c>
      <c r="B38" t="s">
        <v>133</v>
      </c>
      <c r="C38">
        <v>123456</v>
      </c>
      <c r="D38" t="s">
        <v>16</v>
      </c>
      <c r="E38">
        <v>38</v>
      </c>
      <c r="F38" t="s">
        <v>17</v>
      </c>
      <c r="G38" t="s">
        <v>18</v>
      </c>
      <c r="H38" t="s">
        <v>134</v>
      </c>
      <c r="I38" t="s">
        <v>20</v>
      </c>
      <c r="J38" t="s">
        <v>37</v>
      </c>
      <c r="K38">
        <v>1</v>
      </c>
      <c r="L38" t="s">
        <v>22</v>
      </c>
      <c r="M38">
        <v>799</v>
      </c>
      <c r="N38" t="s">
        <v>94</v>
      </c>
      <c r="O38" t="s">
        <v>194</v>
      </c>
      <c r="P38" s="1">
        <v>44893</v>
      </c>
      <c r="Q38" t="s">
        <v>198</v>
      </c>
      <c r="R38" t="s">
        <v>35</v>
      </c>
    </row>
    <row r="39" spans="1:18" x14ac:dyDescent="0.3">
      <c r="A39">
        <v>38</v>
      </c>
      <c r="B39" t="s">
        <v>135</v>
      </c>
      <c r="C39">
        <v>1234567</v>
      </c>
      <c r="D39" t="s">
        <v>42</v>
      </c>
      <c r="E39">
        <v>41</v>
      </c>
      <c r="F39" t="s">
        <v>17</v>
      </c>
      <c r="G39" t="s">
        <v>43</v>
      </c>
      <c r="H39" t="s">
        <v>136</v>
      </c>
      <c r="I39" t="s">
        <v>27</v>
      </c>
      <c r="J39" t="s">
        <v>28</v>
      </c>
      <c r="K39">
        <v>1</v>
      </c>
      <c r="L39" t="s">
        <v>22</v>
      </c>
      <c r="M39">
        <v>1099</v>
      </c>
      <c r="N39" t="s">
        <v>72</v>
      </c>
      <c r="O39" t="s">
        <v>184</v>
      </c>
      <c r="P39" s="1">
        <v>44894</v>
      </c>
      <c r="Q39" t="s">
        <v>199</v>
      </c>
      <c r="R39" t="s">
        <v>47</v>
      </c>
    </row>
    <row r="40" spans="1:18" x14ac:dyDescent="0.3">
      <c r="A40">
        <v>39</v>
      </c>
      <c r="B40" t="s">
        <v>137</v>
      </c>
      <c r="C40">
        <v>2345678</v>
      </c>
      <c r="D40" t="s">
        <v>16</v>
      </c>
      <c r="E40">
        <v>26</v>
      </c>
      <c r="F40" t="s">
        <v>96</v>
      </c>
      <c r="G40" t="s">
        <v>25</v>
      </c>
      <c r="H40" t="s">
        <v>138</v>
      </c>
      <c r="I40" t="s">
        <v>62</v>
      </c>
      <c r="J40" t="s">
        <v>32</v>
      </c>
      <c r="K40">
        <v>1</v>
      </c>
      <c r="L40" t="s">
        <v>22</v>
      </c>
      <c r="M40">
        <v>399</v>
      </c>
      <c r="N40" t="s">
        <v>76</v>
      </c>
      <c r="O40" t="s">
        <v>185</v>
      </c>
      <c r="P40" s="1">
        <v>44895</v>
      </c>
      <c r="Q40" t="s">
        <v>200</v>
      </c>
      <c r="R40" t="s">
        <v>43</v>
      </c>
    </row>
    <row r="41" spans="1:18" x14ac:dyDescent="0.3">
      <c r="A41">
        <v>40</v>
      </c>
      <c r="B41" t="s">
        <v>139</v>
      </c>
      <c r="C41">
        <v>3456789</v>
      </c>
      <c r="D41" t="s">
        <v>16</v>
      </c>
      <c r="E41">
        <v>34</v>
      </c>
      <c r="F41" t="s">
        <v>17</v>
      </c>
      <c r="G41" t="s">
        <v>47</v>
      </c>
      <c r="H41" t="s">
        <v>140</v>
      </c>
      <c r="I41" t="s">
        <v>20</v>
      </c>
      <c r="J41" t="s">
        <v>55</v>
      </c>
      <c r="K41">
        <v>1</v>
      </c>
      <c r="L41" t="s">
        <v>22</v>
      </c>
      <c r="M41">
        <v>699</v>
      </c>
      <c r="N41" t="s">
        <v>101</v>
      </c>
      <c r="O41" t="s">
        <v>181</v>
      </c>
      <c r="P41" s="1">
        <v>44898</v>
      </c>
      <c r="Q41" t="s">
        <v>198</v>
      </c>
      <c r="R41" t="s">
        <v>18</v>
      </c>
    </row>
    <row r="42" spans="1:18" x14ac:dyDescent="0.3">
      <c r="A42">
        <v>41</v>
      </c>
      <c r="B42" t="s">
        <v>141</v>
      </c>
      <c r="C42">
        <v>4567890</v>
      </c>
      <c r="D42" t="s">
        <v>42</v>
      </c>
      <c r="E42">
        <v>37</v>
      </c>
      <c r="F42" t="s">
        <v>17</v>
      </c>
      <c r="G42" t="s">
        <v>35</v>
      </c>
      <c r="H42" t="s">
        <v>142</v>
      </c>
      <c r="I42" t="s">
        <v>27</v>
      </c>
      <c r="J42" t="s">
        <v>37</v>
      </c>
      <c r="K42">
        <v>1</v>
      </c>
      <c r="L42" t="s">
        <v>22</v>
      </c>
      <c r="M42">
        <v>899</v>
      </c>
      <c r="N42" t="s">
        <v>66</v>
      </c>
      <c r="O42" t="s">
        <v>194</v>
      </c>
      <c r="P42" s="1">
        <v>44569</v>
      </c>
      <c r="Q42" t="s">
        <v>199</v>
      </c>
      <c r="R42" t="s">
        <v>35</v>
      </c>
    </row>
    <row r="43" spans="1:18" x14ac:dyDescent="0.3">
      <c r="A43">
        <v>42</v>
      </c>
      <c r="B43" t="s">
        <v>143</v>
      </c>
      <c r="C43">
        <v>5678901</v>
      </c>
      <c r="D43" t="s">
        <v>16</v>
      </c>
      <c r="E43">
        <v>25</v>
      </c>
      <c r="F43" t="s">
        <v>109</v>
      </c>
      <c r="G43" t="s">
        <v>18</v>
      </c>
      <c r="H43" t="s">
        <v>144</v>
      </c>
      <c r="I43" t="s">
        <v>20</v>
      </c>
      <c r="J43" t="s">
        <v>32</v>
      </c>
      <c r="K43">
        <v>1</v>
      </c>
      <c r="L43" t="s">
        <v>22</v>
      </c>
      <c r="M43">
        <v>599</v>
      </c>
      <c r="N43" t="s">
        <v>69</v>
      </c>
      <c r="O43" t="s">
        <v>184</v>
      </c>
      <c r="P43" s="1">
        <v>44604</v>
      </c>
      <c r="Q43" t="s">
        <v>200</v>
      </c>
      <c r="R43" t="s">
        <v>47</v>
      </c>
    </row>
    <row r="44" spans="1:18" x14ac:dyDescent="0.3">
      <c r="A44">
        <v>43</v>
      </c>
      <c r="B44" t="s">
        <v>145</v>
      </c>
      <c r="C44">
        <v>6789012</v>
      </c>
      <c r="D44" t="s">
        <v>16</v>
      </c>
      <c r="E44">
        <v>32</v>
      </c>
      <c r="F44" t="s">
        <v>17</v>
      </c>
      <c r="G44" t="s">
        <v>43</v>
      </c>
      <c r="H44" t="s">
        <v>146</v>
      </c>
      <c r="I44" t="s">
        <v>62</v>
      </c>
      <c r="J44" t="s">
        <v>28</v>
      </c>
      <c r="K44">
        <v>1</v>
      </c>
      <c r="L44" t="s">
        <v>22</v>
      </c>
      <c r="M44">
        <v>399</v>
      </c>
      <c r="N44" t="s">
        <v>98</v>
      </c>
      <c r="O44" t="s">
        <v>185</v>
      </c>
      <c r="P44" s="1">
        <v>44638</v>
      </c>
      <c r="Q44" t="s">
        <v>198</v>
      </c>
      <c r="R44" t="s">
        <v>43</v>
      </c>
    </row>
    <row r="45" spans="1:18" x14ac:dyDescent="0.3">
      <c r="A45">
        <v>44</v>
      </c>
      <c r="B45" t="s">
        <v>147</v>
      </c>
      <c r="C45">
        <v>7890123</v>
      </c>
      <c r="D45" t="s">
        <v>42</v>
      </c>
      <c r="E45">
        <v>48</v>
      </c>
      <c r="F45" t="s">
        <v>96</v>
      </c>
      <c r="G45" t="s">
        <v>25</v>
      </c>
      <c r="H45" t="s">
        <v>148</v>
      </c>
      <c r="I45" t="s">
        <v>45</v>
      </c>
      <c r="J45" t="s">
        <v>55</v>
      </c>
      <c r="K45">
        <v>1</v>
      </c>
      <c r="L45" t="s">
        <v>22</v>
      </c>
      <c r="M45">
        <v>1299</v>
      </c>
      <c r="N45" t="s">
        <v>94</v>
      </c>
      <c r="O45" t="s">
        <v>186</v>
      </c>
      <c r="P45" s="1">
        <v>44673</v>
      </c>
      <c r="Q45" t="s">
        <v>199</v>
      </c>
      <c r="R45" t="s">
        <v>18</v>
      </c>
    </row>
    <row r="46" spans="1:18" x14ac:dyDescent="0.3">
      <c r="A46">
        <v>45</v>
      </c>
      <c r="B46" t="s">
        <v>149</v>
      </c>
      <c r="C46">
        <v>8901234</v>
      </c>
      <c r="D46" t="s">
        <v>16</v>
      </c>
      <c r="E46">
        <v>29</v>
      </c>
      <c r="F46" t="s">
        <v>17</v>
      </c>
      <c r="G46" t="s">
        <v>47</v>
      </c>
      <c r="H46" t="s">
        <v>150</v>
      </c>
      <c r="I46" t="s">
        <v>20</v>
      </c>
      <c r="J46" t="s">
        <v>37</v>
      </c>
      <c r="K46">
        <v>1</v>
      </c>
      <c r="L46" t="s">
        <v>22</v>
      </c>
      <c r="M46">
        <v>749</v>
      </c>
      <c r="N46" t="s">
        <v>72</v>
      </c>
      <c r="O46" t="s">
        <v>187</v>
      </c>
      <c r="P46" s="1">
        <v>44708</v>
      </c>
      <c r="Q46" t="s">
        <v>200</v>
      </c>
      <c r="R46" t="s">
        <v>35</v>
      </c>
    </row>
    <row r="47" spans="1:18" x14ac:dyDescent="0.3">
      <c r="A47">
        <v>46</v>
      </c>
      <c r="B47" t="s">
        <v>151</v>
      </c>
      <c r="C47">
        <v>9012345</v>
      </c>
      <c r="D47" t="s">
        <v>16</v>
      </c>
      <c r="E47">
        <v>41</v>
      </c>
      <c r="F47" t="s">
        <v>17</v>
      </c>
      <c r="G47" t="s">
        <v>74</v>
      </c>
      <c r="H47" t="s">
        <v>152</v>
      </c>
      <c r="I47" t="s">
        <v>27</v>
      </c>
      <c r="J47" t="s">
        <v>21</v>
      </c>
      <c r="K47">
        <v>1</v>
      </c>
      <c r="L47" t="s">
        <v>22</v>
      </c>
      <c r="M47">
        <v>1199</v>
      </c>
      <c r="N47" t="s">
        <v>76</v>
      </c>
      <c r="O47" t="s">
        <v>188</v>
      </c>
      <c r="P47" s="1">
        <v>44742</v>
      </c>
      <c r="Q47" t="s">
        <v>198</v>
      </c>
      <c r="R47" t="s">
        <v>47</v>
      </c>
    </row>
    <row r="48" spans="1:18" x14ac:dyDescent="0.3">
      <c r="A48">
        <v>47</v>
      </c>
      <c r="B48" t="s">
        <v>153</v>
      </c>
      <c r="C48">
        <v>123456</v>
      </c>
      <c r="D48" t="s">
        <v>42</v>
      </c>
      <c r="E48">
        <v>35</v>
      </c>
      <c r="F48" t="s">
        <v>109</v>
      </c>
      <c r="G48" t="s">
        <v>35</v>
      </c>
      <c r="H48" t="s">
        <v>154</v>
      </c>
      <c r="I48" t="s">
        <v>62</v>
      </c>
      <c r="J48" t="s">
        <v>37</v>
      </c>
      <c r="K48">
        <v>1</v>
      </c>
      <c r="L48" t="s">
        <v>22</v>
      </c>
      <c r="M48">
        <v>499</v>
      </c>
      <c r="N48" t="s">
        <v>101</v>
      </c>
      <c r="O48" t="s">
        <v>189</v>
      </c>
      <c r="P48" s="1">
        <v>44746</v>
      </c>
      <c r="Q48" t="s">
        <v>199</v>
      </c>
      <c r="R48" t="s">
        <v>43</v>
      </c>
    </row>
    <row r="49" spans="1:18" x14ac:dyDescent="0.3">
      <c r="A49">
        <v>48</v>
      </c>
      <c r="B49" t="s">
        <v>155</v>
      </c>
      <c r="C49">
        <v>1234567</v>
      </c>
      <c r="D49" t="s">
        <v>16</v>
      </c>
      <c r="E49">
        <v>22</v>
      </c>
      <c r="F49" t="s">
        <v>17</v>
      </c>
      <c r="G49" t="s">
        <v>18</v>
      </c>
      <c r="H49" t="s">
        <v>156</v>
      </c>
      <c r="I49" t="s">
        <v>20</v>
      </c>
      <c r="J49" t="s">
        <v>32</v>
      </c>
      <c r="K49">
        <v>1</v>
      </c>
      <c r="L49" t="s">
        <v>22</v>
      </c>
      <c r="M49">
        <v>699</v>
      </c>
      <c r="N49" t="s">
        <v>79</v>
      </c>
      <c r="O49" t="s">
        <v>190</v>
      </c>
      <c r="P49" s="1">
        <v>44783</v>
      </c>
      <c r="Q49" t="s">
        <v>200</v>
      </c>
      <c r="R49" t="s">
        <v>18</v>
      </c>
    </row>
    <row r="50" spans="1:18" x14ac:dyDescent="0.3">
      <c r="A50">
        <v>49</v>
      </c>
      <c r="B50" t="s">
        <v>157</v>
      </c>
      <c r="C50">
        <v>2345678</v>
      </c>
      <c r="D50" t="s">
        <v>16</v>
      </c>
      <c r="E50">
        <v>31</v>
      </c>
      <c r="F50" t="s">
        <v>17</v>
      </c>
      <c r="G50" t="s">
        <v>43</v>
      </c>
      <c r="H50" t="s">
        <v>158</v>
      </c>
      <c r="I50" t="s">
        <v>27</v>
      </c>
      <c r="J50" t="s">
        <v>28</v>
      </c>
      <c r="K50">
        <v>1</v>
      </c>
      <c r="L50" t="s">
        <v>22</v>
      </c>
      <c r="M50">
        <v>999</v>
      </c>
      <c r="N50" t="s">
        <v>33</v>
      </c>
      <c r="O50" t="s">
        <v>191</v>
      </c>
      <c r="P50" s="1">
        <v>44819</v>
      </c>
      <c r="Q50" t="s">
        <v>198</v>
      </c>
      <c r="R50" t="s">
        <v>35</v>
      </c>
    </row>
    <row r="51" spans="1:18" x14ac:dyDescent="0.3">
      <c r="A51">
        <v>50</v>
      </c>
      <c r="B51" t="s">
        <v>159</v>
      </c>
      <c r="C51">
        <v>3456789</v>
      </c>
      <c r="D51" t="s">
        <v>42</v>
      </c>
      <c r="E51">
        <v>39</v>
      </c>
      <c r="F51" t="s">
        <v>96</v>
      </c>
      <c r="G51" t="s">
        <v>25</v>
      </c>
      <c r="H51" t="s">
        <v>160</v>
      </c>
      <c r="I51" t="s">
        <v>45</v>
      </c>
      <c r="J51" t="s">
        <v>55</v>
      </c>
      <c r="K51">
        <v>1</v>
      </c>
      <c r="L51" t="s">
        <v>22</v>
      </c>
      <c r="M51">
        <v>1099</v>
      </c>
      <c r="N51" t="s">
        <v>49</v>
      </c>
      <c r="O51" t="s">
        <v>192</v>
      </c>
      <c r="P51" s="1">
        <v>44855</v>
      </c>
      <c r="Q51" t="s">
        <v>199</v>
      </c>
      <c r="R51" t="s">
        <v>47</v>
      </c>
    </row>
    <row r="52" spans="1:18" x14ac:dyDescent="0.3">
      <c r="A52">
        <v>51</v>
      </c>
      <c r="B52" t="s">
        <v>161</v>
      </c>
      <c r="C52">
        <v>4567890</v>
      </c>
      <c r="D52" t="s">
        <v>16</v>
      </c>
      <c r="E52">
        <v>27</v>
      </c>
      <c r="F52" t="s">
        <v>17</v>
      </c>
      <c r="G52" t="s">
        <v>47</v>
      </c>
      <c r="H52" t="s">
        <v>162</v>
      </c>
      <c r="I52" t="s">
        <v>20</v>
      </c>
      <c r="J52" t="s">
        <v>37</v>
      </c>
      <c r="K52">
        <v>1</v>
      </c>
      <c r="L52" t="s">
        <v>22</v>
      </c>
      <c r="M52">
        <v>549</v>
      </c>
      <c r="N52" t="s">
        <v>66</v>
      </c>
      <c r="O52" t="s">
        <v>193</v>
      </c>
      <c r="P52" s="1">
        <v>44893</v>
      </c>
      <c r="Q52" t="s">
        <v>200</v>
      </c>
      <c r="R52" t="s">
        <v>43</v>
      </c>
    </row>
    <row r="53" spans="1:18" x14ac:dyDescent="0.3">
      <c r="A53">
        <v>52</v>
      </c>
      <c r="B53" t="s">
        <v>163</v>
      </c>
      <c r="C53">
        <v>5678901</v>
      </c>
      <c r="D53" t="s">
        <v>42</v>
      </c>
      <c r="E53">
        <v>45</v>
      </c>
      <c r="F53" t="s">
        <v>17</v>
      </c>
      <c r="G53" t="s">
        <v>74</v>
      </c>
      <c r="H53" t="s">
        <v>164</v>
      </c>
      <c r="I53" t="s">
        <v>27</v>
      </c>
      <c r="J53" t="s">
        <v>28</v>
      </c>
      <c r="K53">
        <v>1</v>
      </c>
      <c r="L53" t="s">
        <v>22</v>
      </c>
      <c r="M53">
        <v>899</v>
      </c>
      <c r="N53" t="s">
        <v>69</v>
      </c>
      <c r="O53" t="s">
        <v>181</v>
      </c>
      <c r="P53" s="1">
        <v>44897</v>
      </c>
      <c r="Q53" t="s">
        <v>198</v>
      </c>
      <c r="R53" t="s">
        <v>18</v>
      </c>
    </row>
    <row r="54" spans="1:18" x14ac:dyDescent="0.3">
      <c r="A54">
        <v>53</v>
      </c>
      <c r="B54" t="s">
        <v>165</v>
      </c>
      <c r="C54">
        <v>6789012</v>
      </c>
      <c r="D54" t="s">
        <v>16</v>
      </c>
      <c r="E54">
        <v>36</v>
      </c>
      <c r="F54" t="s">
        <v>109</v>
      </c>
      <c r="G54" t="s">
        <v>35</v>
      </c>
      <c r="H54" t="s">
        <v>166</v>
      </c>
      <c r="I54" t="s">
        <v>62</v>
      </c>
      <c r="J54" t="s">
        <v>32</v>
      </c>
      <c r="K54">
        <v>1</v>
      </c>
      <c r="L54" t="s">
        <v>22</v>
      </c>
      <c r="M54">
        <v>349</v>
      </c>
      <c r="N54" t="s">
        <v>98</v>
      </c>
      <c r="O54" t="s">
        <v>194</v>
      </c>
      <c r="P54" s="1">
        <v>44567</v>
      </c>
      <c r="Q54" t="s">
        <v>199</v>
      </c>
      <c r="R54" t="s">
        <v>35</v>
      </c>
    </row>
    <row r="55" spans="1:18" x14ac:dyDescent="0.3">
      <c r="A55">
        <v>54</v>
      </c>
      <c r="B55" t="s">
        <v>167</v>
      </c>
      <c r="C55">
        <v>7890123</v>
      </c>
      <c r="D55" t="s">
        <v>16</v>
      </c>
      <c r="E55">
        <v>30</v>
      </c>
      <c r="F55" t="s">
        <v>17</v>
      </c>
      <c r="G55" t="s">
        <v>18</v>
      </c>
      <c r="H55" t="s">
        <v>168</v>
      </c>
      <c r="I55" t="s">
        <v>20</v>
      </c>
      <c r="J55" t="s">
        <v>55</v>
      </c>
      <c r="K55">
        <v>1</v>
      </c>
      <c r="L55" t="s">
        <v>22</v>
      </c>
      <c r="M55">
        <v>799</v>
      </c>
      <c r="N55" t="s">
        <v>94</v>
      </c>
      <c r="O55" t="s">
        <v>184</v>
      </c>
      <c r="P55" s="1">
        <v>44603</v>
      </c>
      <c r="Q55" t="s">
        <v>200</v>
      </c>
      <c r="R55" t="s">
        <v>47</v>
      </c>
    </row>
    <row r="56" spans="1:18" x14ac:dyDescent="0.3">
      <c r="A56">
        <v>55</v>
      </c>
      <c r="B56" t="s">
        <v>169</v>
      </c>
      <c r="C56">
        <v>8901234</v>
      </c>
      <c r="D56" t="s">
        <v>42</v>
      </c>
      <c r="E56">
        <v>42</v>
      </c>
      <c r="F56" t="s">
        <v>17</v>
      </c>
      <c r="G56" t="s">
        <v>43</v>
      </c>
      <c r="H56" t="s">
        <v>170</v>
      </c>
      <c r="I56" t="s">
        <v>27</v>
      </c>
      <c r="J56" t="s">
        <v>37</v>
      </c>
      <c r="K56">
        <v>1</v>
      </c>
      <c r="L56" t="s">
        <v>22</v>
      </c>
      <c r="M56">
        <v>1099</v>
      </c>
      <c r="N56" t="s">
        <v>72</v>
      </c>
      <c r="O56" t="s">
        <v>185</v>
      </c>
      <c r="P56" s="1">
        <v>44637</v>
      </c>
      <c r="Q56" t="s">
        <v>198</v>
      </c>
      <c r="R56" t="s">
        <v>43</v>
      </c>
    </row>
    <row r="57" spans="1:18" x14ac:dyDescent="0.3">
      <c r="A57">
        <v>56</v>
      </c>
      <c r="B57" t="s">
        <v>171</v>
      </c>
      <c r="C57">
        <v>9012345</v>
      </c>
      <c r="D57" t="s">
        <v>16</v>
      </c>
      <c r="E57">
        <v>24</v>
      </c>
      <c r="F57" t="s">
        <v>96</v>
      </c>
      <c r="G57" t="s">
        <v>25</v>
      </c>
      <c r="H57" t="s">
        <v>172</v>
      </c>
      <c r="I57" t="s">
        <v>62</v>
      </c>
      <c r="J57" t="s">
        <v>28</v>
      </c>
      <c r="K57">
        <v>1</v>
      </c>
      <c r="L57" t="s">
        <v>22</v>
      </c>
      <c r="M57">
        <v>399</v>
      </c>
      <c r="N57" t="s">
        <v>76</v>
      </c>
      <c r="O57" t="s">
        <v>186</v>
      </c>
      <c r="P57" s="1">
        <v>44675</v>
      </c>
      <c r="Q57" t="s">
        <v>199</v>
      </c>
      <c r="R57" t="s">
        <v>18</v>
      </c>
    </row>
    <row r="58" spans="1:18" x14ac:dyDescent="0.3">
      <c r="A58">
        <v>57</v>
      </c>
      <c r="B58" t="s">
        <v>173</v>
      </c>
      <c r="C58">
        <v>123456</v>
      </c>
      <c r="D58" t="s">
        <v>16</v>
      </c>
      <c r="E58">
        <v>33</v>
      </c>
      <c r="F58" t="s">
        <v>17</v>
      </c>
      <c r="G58" t="s">
        <v>47</v>
      </c>
      <c r="H58" t="s">
        <v>174</v>
      </c>
      <c r="I58" t="s">
        <v>20</v>
      </c>
      <c r="J58" t="s">
        <v>32</v>
      </c>
      <c r="K58">
        <v>1</v>
      </c>
      <c r="L58" t="s">
        <v>22</v>
      </c>
      <c r="M58">
        <v>699</v>
      </c>
      <c r="N58" t="s">
        <v>101</v>
      </c>
      <c r="O58" t="s">
        <v>187</v>
      </c>
      <c r="P58" s="1">
        <v>44710</v>
      </c>
      <c r="Q58" t="s">
        <v>200</v>
      </c>
      <c r="R58" t="s">
        <v>35</v>
      </c>
    </row>
    <row r="59" spans="1:18" x14ac:dyDescent="0.3">
      <c r="A59">
        <v>58</v>
      </c>
      <c r="B59" t="s">
        <v>175</v>
      </c>
      <c r="C59">
        <v>1234567</v>
      </c>
      <c r="D59" t="s">
        <v>42</v>
      </c>
      <c r="E59">
        <v>38</v>
      </c>
      <c r="F59" t="s">
        <v>17</v>
      </c>
      <c r="G59" t="s">
        <v>74</v>
      </c>
      <c r="H59" t="s">
        <v>176</v>
      </c>
      <c r="I59" t="s">
        <v>27</v>
      </c>
      <c r="J59" t="s">
        <v>21</v>
      </c>
      <c r="K59">
        <v>1</v>
      </c>
      <c r="L59" t="s">
        <v>22</v>
      </c>
      <c r="M59">
        <v>999</v>
      </c>
      <c r="N59" t="s">
        <v>79</v>
      </c>
      <c r="O59" t="s">
        <v>188</v>
      </c>
      <c r="P59" s="1">
        <v>44713</v>
      </c>
      <c r="Q59" t="s">
        <v>198</v>
      </c>
      <c r="R59" t="s">
        <v>47</v>
      </c>
    </row>
    <row r="60" spans="1:18" x14ac:dyDescent="0.3">
      <c r="A60">
        <v>59</v>
      </c>
      <c r="B60" t="s">
        <v>177</v>
      </c>
      <c r="C60">
        <v>2345678</v>
      </c>
      <c r="D60" t="s">
        <v>16</v>
      </c>
      <c r="E60">
        <v>21</v>
      </c>
      <c r="F60" t="s">
        <v>109</v>
      </c>
      <c r="G60" t="s">
        <v>35</v>
      </c>
      <c r="H60" t="s">
        <v>178</v>
      </c>
      <c r="I60" t="s">
        <v>62</v>
      </c>
      <c r="J60" t="s">
        <v>37</v>
      </c>
      <c r="K60">
        <v>1</v>
      </c>
      <c r="L60" t="s">
        <v>22</v>
      </c>
      <c r="M60">
        <v>299</v>
      </c>
      <c r="N60" t="s">
        <v>33</v>
      </c>
      <c r="O60" t="s">
        <v>189</v>
      </c>
      <c r="P60" s="1">
        <v>44749</v>
      </c>
      <c r="Q60" t="s">
        <v>199</v>
      </c>
      <c r="R60" t="s">
        <v>43</v>
      </c>
    </row>
    <row r="61" spans="1:18" x14ac:dyDescent="0.3">
      <c r="A61">
        <v>60</v>
      </c>
      <c r="B61" t="s">
        <v>179</v>
      </c>
      <c r="C61">
        <v>3456789</v>
      </c>
      <c r="D61" t="s">
        <v>16</v>
      </c>
      <c r="E61">
        <v>47</v>
      </c>
      <c r="F61" t="s">
        <v>17</v>
      </c>
      <c r="G61" t="s">
        <v>18</v>
      </c>
      <c r="H61" t="s">
        <v>180</v>
      </c>
      <c r="I61" t="s">
        <v>20</v>
      </c>
      <c r="J61" t="s">
        <v>28</v>
      </c>
      <c r="K61">
        <v>1</v>
      </c>
      <c r="L61" t="s">
        <v>22</v>
      </c>
      <c r="M61">
        <v>899</v>
      </c>
      <c r="N61" t="s">
        <v>49</v>
      </c>
      <c r="O61" t="s">
        <v>190</v>
      </c>
      <c r="P61" s="1">
        <v>44750</v>
      </c>
      <c r="Q61" t="s">
        <v>199</v>
      </c>
      <c r="R6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Man and Woman</vt:lpstr>
      <vt:lpstr>Order Status</vt:lpstr>
      <vt:lpstr>Sheet9</vt:lpstr>
      <vt:lpstr>Age Group</vt:lpstr>
      <vt:lpstr>Sheet7</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2026-04-14T09:34:45Z</dcterms:created>
  <dcterms:modified xsi:type="dcterms:W3CDTF">2026-04-14T15:50:47Z</dcterms:modified>
</cp:coreProperties>
</file>